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9EF061C9-017B-45C2-BF55-29F089857376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82" i="8" l="1"/>
  <c r="B1182" i="8"/>
  <c r="C1182" i="8"/>
  <c r="D1182" i="8"/>
  <c r="E1182" i="8"/>
  <c r="I1182" i="8"/>
  <c r="J1182" i="8"/>
  <c r="K1182" i="8"/>
  <c r="L1182" i="8"/>
  <c r="A1182" i="7"/>
  <c r="B1182" i="7"/>
  <c r="O1182" i="7" s="1"/>
  <c r="C1182" i="7"/>
  <c r="E1182" i="7" s="1"/>
  <c r="D1182" i="7"/>
  <c r="H1182" i="7"/>
  <c r="I1182" i="7" s="1"/>
  <c r="A1181" i="6"/>
  <c r="B1181" i="6"/>
  <c r="D1181" i="6" s="1"/>
  <c r="C1181" i="6"/>
  <c r="A1181" i="4"/>
  <c r="H1181" i="5"/>
  <c r="I1181" i="5"/>
  <c r="A1180" i="7"/>
  <c r="B1180" i="7"/>
  <c r="A1181" i="7"/>
  <c r="B1181" i="7"/>
  <c r="I1181" i="8" s="1"/>
  <c r="A1179" i="4"/>
  <c r="A1179" i="6" s="1"/>
  <c r="A1180" i="8" s="1"/>
  <c r="A1180" i="4"/>
  <c r="A1180" i="6" s="1"/>
  <c r="A1181" i="8" s="1"/>
  <c r="H1179" i="5"/>
  <c r="H1180" i="7" s="1"/>
  <c r="I1179" i="5"/>
  <c r="H1180" i="5"/>
  <c r="H1181" i="7" s="1"/>
  <c r="I1180" i="5"/>
  <c r="A1179" i="7"/>
  <c r="B1179" i="7"/>
  <c r="I1179" i="8" s="1"/>
  <c r="H1178" i="5"/>
  <c r="H1179" i="7" s="1"/>
  <c r="I1178" i="5"/>
  <c r="A1178" i="4"/>
  <c r="A1178" i="6" s="1"/>
  <c r="A1179" i="8" s="1"/>
  <c r="A1178" i="7"/>
  <c r="B1178" i="7"/>
  <c r="I1178" i="8" s="1"/>
  <c r="H1177" i="5"/>
  <c r="H1178" i="7" s="1"/>
  <c r="I1177" i="5"/>
  <c r="A1177" i="4"/>
  <c r="A1177" i="6" s="1"/>
  <c r="A1178" i="8" s="1"/>
  <c r="A1177" i="7"/>
  <c r="B1177" i="7"/>
  <c r="I1177" i="8" s="1"/>
  <c r="A1176" i="4"/>
  <c r="A1176" i="6" s="1"/>
  <c r="A1177" i="8" s="1"/>
  <c r="H1176" i="5"/>
  <c r="H1177" i="7" s="1"/>
  <c r="I1176" i="5"/>
  <c r="A1176" i="7"/>
  <c r="B1176" i="7"/>
  <c r="I1176" i="8" s="1"/>
  <c r="A1175" i="4"/>
  <c r="A1175" i="6" s="1"/>
  <c r="A1176" i="8" s="1"/>
  <c r="H1175" i="5"/>
  <c r="H1176" i="7" s="1"/>
  <c r="I1175" i="5"/>
  <c r="A1175" i="7"/>
  <c r="B1175" i="7"/>
  <c r="A1174" i="4"/>
  <c r="A1174" i="6" s="1"/>
  <c r="A1175" i="8" s="1"/>
  <c r="H1174" i="5"/>
  <c r="H1175" i="7" s="1"/>
  <c r="I1174" i="5"/>
  <c r="A1174" i="7"/>
  <c r="B1174" i="7"/>
  <c r="I1174" i="8" s="1"/>
  <c r="A1173" i="4"/>
  <c r="A1173" i="6" s="1"/>
  <c r="A1174" i="8" s="1"/>
  <c r="H1173" i="5"/>
  <c r="H1174" i="7" s="1"/>
  <c r="I1173" i="5"/>
  <c r="A1173" i="7"/>
  <c r="B1173" i="7"/>
  <c r="A1172" i="4"/>
  <c r="A1172" i="6" s="1"/>
  <c r="A1173" i="8" s="1"/>
  <c r="H1172" i="5"/>
  <c r="H1173" i="7" s="1"/>
  <c r="I1172" i="5"/>
  <c r="A1172" i="7"/>
  <c r="B1172" i="7"/>
  <c r="I1172" i="8" s="1"/>
  <c r="A1171" i="4"/>
  <c r="A1171" i="6" s="1"/>
  <c r="A1172" i="8" s="1"/>
  <c r="H1171" i="5"/>
  <c r="H1172" i="7" s="1"/>
  <c r="I1171" i="5"/>
  <c r="A1171" i="7"/>
  <c r="B1171" i="7"/>
  <c r="A1170" i="4"/>
  <c r="A1170" i="6" s="1"/>
  <c r="A1171" i="8" s="1"/>
  <c r="H1170" i="5"/>
  <c r="H1171" i="7" s="1"/>
  <c r="I1170" i="5"/>
  <c r="A1170" i="7"/>
  <c r="B1170" i="7"/>
  <c r="I1170" i="8" s="1"/>
  <c r="A1169" i="4"/>
  <c r="A1169" i="6" s="1"/>
  <c r="A1170" i="8" s="1"/>
  <c r="H1169" i="5"/>
  <c r="H1170" i="7" s="1"/>
  <c r="I1169" i="5"/>
  <c r="A1169" i="7"/>
  <c r="B1169" i="7"/>
  <c r="I1169" i="8" s="1"/>
  <c r="A1168" i="4"/>
  <c r="A1168" i="6" s="1"/>
  <c r="A1169" i="8" s="1"/>
  <c r="H1168" i="5"/>
  <c r="H1169" i="7" s="1"/>
  <c r="I1168" i="5"/>
  <c r="A1168" i="7"/>
  <c r="B1168" i="7"/>
  <c r="A1167" i="4"/>
  <c r="A1167" i="6" s="1"/>
  <c r="A1168" i="8" s="1"/>
  <c r="H1167" i="5"/>
  <c r="H1168" i="7" s="1"/>
  <c r="I1167" i="5"/>
  <c r="A1167" i="7"/>
  <c r="B1167" i="7"/>
  <c r="I1167" i="8" s="1"/>
  <c r="A1166" i="4"/>
  <c r="A1166" i="6" s="1"/>
  <c r="A1167" i="8" s="1"/>
  <c r="H1166" i="5"/>
  <c r="H1167" i="7" s="1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81" i="4"/>
  <c r="C1181" i="4"/>
  <c r="D1181" i="4"/>
  <c r="E1181" i="4"/>
  <c r="F1181" i="4"/>
  <c r="G1181" i="4"/>
  <c r="B1180" i="4"/>
  <c r="G1179" i="4"/>
  <c r="C1177" i="4"/>
  <c r="D1179" i="4"/>
  <c r="F1180" i="4"/>
  <c r="D1178" i="4"/>
  <c r="C1180" i="4"/>
  <c r="E1177" i="4"/>
  <c r="B1177" i="4"/>
  <c r="E1179" i="4"/>
  <c r="F1177" i="4"/>
  <c r="F1178" i="4"/>
  <c r="D1180" i="4"/>
  <c r="G1177" i="4"/>
  <c r="E1178" i="4"/>
  <c r="G1180" i="4"/>
  <c r="B1178" i="4"/>
  <c r="G1178" i="4"/>
  <c r="B1179" i="4"/>
  <c r="F1179" i="4"/>
  <c r="C1178" i="4"/>
  <c r="C1179" i="4"/>
  <c r="E1180" i="4"/>
  <c r="D1177" i="4"/>
  <c r="K1182" i="7" l="1"/>
  <c r="L1182" i="7"/>
  <c r="G1182" i="7"/>
  <c r="P1182" i="7"/>
  <c r="Q1182" i="7" s="1"/>
  <c r="R1182" i="7" s="1"/>
  <c r="F1182" i="7"/>
  <c r="J1182" i="7"/>
  <c r="E1181" i="6"/>
  <c r="F1181" i="6" s="1"/>
  <c r="G1181" i="6"/>
  <c r="H1181" i="6"/>
  <c r="I1181" i="4"/>
  <c r="H1181" i="4"/>
  <c r="I1180" i="7"/>
  <c r="D1180" i="7"/>
  <c r="F1180" i="7" s="1"/>
  <c r="C1180" i="7"/>
  <c r="I1180" i="8"/>
  <c r="D1181" i="7"/>
  <c r="C1181" i="7"/>
  <c r="J1181" i="7"/>
  <c r="I1181" i="7"/>
  <c r="J1180" i="7"/>
  <c r="L1180" i="7" s="1"/>
  <c r="I1180" i="4"/>
  <c r="I1179" i="4"/>
  <c r="H1180" i="4"/>
  <c r="H1179" i="4"/>
  <c r="I1179" i="7"/>
  <c r="D1179" i="7"/>
  <c r="C1179" i="7"/>
  <c r="J1179" i="7"/>
  <c r="I1178" i="4"/>
  <c r="H1178" i="4"/>
  <c r="I1178" i="7"/>
  <c r="C1178" i="7"/>
  <c r="D1178" i="7"/>
  <c r="J1178" i="7"/>
  <c r="I1177" i="4"/>
  <c r="H1177" i="4"/>
  <c r="I1177" i="7"/>
  <c r="D1177" i="7"/>
  <c r="C1177" i="7"/>
  <c r="J1177" i="7"/>
  <c r="I1176" i="7"/>
  <c r="D1176" i="7"/>
  <c r="C1176" i="7"/>
  <c r="J1176" i="7"/>
  <c r="I1175" i="7"/>
  <c r="J1175" i="7"/>
  <c r="C1175" i="7"/>
  <c r="I1175" i="8"/>
  <c r="D1175" i="7"/>
  <c r="D1174" i="7"/>
  <c r="I1174" i="7"/>
  <c r="C1174" i="7"/>
  <c r="J1174" i="7"/>
  <c r="J1173" i="7"/>
  <c r="C1173" i="7"/>
  <c r="I1173" i="7"/>
  <c r="D1173" i="7"/>
  <c r="I1173" i="8"/>
  <c r="D1172" i="7"/>
  <c r="C1172" i="7"/>
  <c r="I1172" i="7"/>
  <c r="J1172" i="7"/>
  <c r="I1171" i="7"/>
  <c r="C1171" i="7"/>
  <c r="I1171" i="8"/>
  <c r="D1171" i="7"/>
  <c r="J1171" i="7"/>
  <c r="I1170" i="7"/>
  <c r="D1170" i="7"/>
  <c r="C1170" i="7"/>
  <c r="J1170" i="7"/>
  <c r="I1169" i="7"/>
  <c r="D1169" i="7"/>
  <c r="C1169" i="7"/>
  <c r="J1169" i="7"/>
  <c r="I1168" i="8"/>
  <c r="I1165" i="8"/>
  <c r="I1161" i="8"/>
  <c r="I1157" i="8"/>
  <c r="I1154" i="8"/>
  <c r="I1145" i="8"/>
  <c r="I1140" i="8"/>
  <c r="I1139" i="8"/>
  <c r="I1137" i="8"/>
  <c r="I1135" i="8"/>
  <c r="I1133" i="8"/>
  <c r="I1132" i="8"/>
  <c r="I1128" i="8"/>
  <c r="I1127" i="8"/>
  <c r="I1123" i="8"/>
  <c r="I1121" i="8"/>
  <c r="I1116" i="8"/>
  <c r="I1114" i="8"/>
  <c r="I1112" i="8"/>
  <c r="B1109" i="7"/>
  <c r="O1167" i="7" s="1"/>
  <c r="H1108" i="5"/>
  <c r="H1109" i="7" s="1"/>
  <c r="I1167" i="7" s="1"/>
  <c r="O1108" i="7"/>
  <c r="C1108" i="7"/>
  <c r="D1108" i="7"/>
  <c r="F10" i="8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C1123" i="4"/>
  <c r="F1161" i="4"/>
  <c r="G1148" i="4"/>
  <c r="E1168" i="4"/>
  <c r="D1153" i="4"/>
  <c r="B1175" i="4"/>
  <c r="F1110" i="4"/>
  <c r="F1167" i="4"/>
  <c r="C1175" i="4"/>
  <c r="D1124" i="4"/>
  <c r="E1144" i="4"/>
  <c r="C1115" i="4"/>
  <c r="C1155" i="4"/>
  <c r="G1175" i="4"/>
  <c r="F1119" i="4"/>
  <c r="C1110" i="4"/>
  <c r="B1157" i="4"/>
  <c r="G1112" i="4"/>
  <c r="G1172" i="4"/>
  <c r="G1134" i="4"/>
  <c r="G1169" i="4"/>
  <c r="E1158" i="4"/>
  <c r="D1117" i="4"/>
  <c r="D1115" i="4"/>
  <c r="E1132" i="4"/>
  <c r="G1144" i="4"/>
  <c r="C1152" i="4"/>
  <c r="G1124" i="4"/>
  <c r="E1138" i="4"/>
  <c r="B1132" i="4"/>
  <c r="C1173" i="4"/>
  <c r="D1119" i="4"/>
  <c r="G1138" i="4"/>
  <c r="F1130" i="4"/>
  <c r="F1144" i="4"/>
  <c r="F1115" i="4"/>
  <c r="C1134" i="4"/>
  <c r="B1166" i="4"/>
  <c r="F1127" i="4"/>
  <c r="D1133" i="4"/>
  <c r="F1165" i="4"/>
  <c r="G1123" i="4"/>
  <c r="D1127" i="4"/>
  <c r="B1119" i="4"/>
  <c r="B1121" i="4"/>
  <c r="D1174" i="4"/>
  <c r="B1168" i="4"/>
  <c r="E1122" i="4"/>
  <c r="F1111" i="4"/>
  <c r="C1133" i="4"/>
  <c r="B1124" i="4"/>
  <c r="E1106" i="4"/>
  <c r="F1158" i="4"/>
  <c r="F1121" i="4"/>
  <c r="G1128" i="4"/>
  <c r="G1106" i="4"/>
  <c r="B1127" i="4"/>
  <c r="C1145" i="4"/>
  <c r="E1116" i="4"/>
  <c r="G1136" i="4"/>
  <c r="E1129" i="4"/>
  <c r="B1155" i="4"/>
  <c r="F1107" i="4"/>
  <c r="E1140" i="4"/>
  <c r="G1109" i="4"/>
  <c r="G1133" i="4"/>
  <c r="G1105" i="4"/>
  <c r="D1111" i="4"/>
  <c r="D1108" i="4"/>
  <c r="C1107" i="4"/>
  <c r="F1139" i="4"/>
  <c r="D1122" i="4"/>
  <c r="D1146" i="4"/>
  <c r="F1141" i="4"/>
  <c r="C1170" i="4"/>
  <c r="E1171" i="4"/>
  <c r="B1137" i="4"/>
  <c r="E1120" i="4"/>
  <c r="C1159" i="4"/>
  <c r="E1134" i="4"/>
  <c r="E1176" i="4"/>
  <c r="E1139" i="4"/>
  <c r="F1132" i="4"/>
  <c r="B1113" i="4"/>
  <c r="G1121" i="4"/>
  <c r="G1161" i="4"/>
  <c r="B1140" i="4"/>
  <c r="E1119" i="4"/>
  <c r="D1134" i="4"/>
  <c r="B1144" i="4"/>
  <c r="G1132" i="4"/>
  <c r="D1163" i="4"/>
  <c r="C1150" i="4"/>
  <c r="F1136" i="4"/>
  <c r="B1106" i="4"/>
  <c r="D1176" i="4"/>
  <c r="E1118" i="4"/>
  <c r="E1169" i="4"/>
  <c r="B1138" i="4"/>
  <c r="G1149" i="4"/>
  <c r="F1149" i="4"/>
  <c r="C1165" i="4"/>
  <c r="D1139" i="4"/>
  <c r="G1158" i="4"/>
  <c r="B1141" i="4"/>
  <c r="F1168" i="4"/>
  <c r="D1105" i="4"/>
  <c r="F1113" i="4"/>
  <c r="C1112" i="4"/>
  <c r="F1128" i="4"/>
  <c r="C1131" i="4"/>
  <c r="C1138" i="4"/>
  <c r="E1175" i="4"/>
  <c r="B1142" i="4"/>
  <c r="G1167" i="4"/>
  <c r="D1138" i="4"/>
  <c r="C1114" i="4"/>
  <c r="F1123" i="4"/>
  <c r="E1147" i="4"/>
  <c r="B1143" i="4"/>
  <c r="C1126" i="4"/>
  <c r="G1115" i="4"/>
  <c r="C1116" i="4"/>
  <c r="D1110" i="4"/>
  <c r="G1130" i="4"/>
  <c r="D1173" i="4"/>
  <c r="G1119" i="4"/>
  <c r="C1162" i="4"/>
  <c r="B1126" i="4"/>
  <c r="F1117" i="4"/>
  <c r="B1111" i="4"/>
  <c r="D1169" i="4"/>
  <c r="D1175" i="4"/>
  <c r="D1137" i="4"/>
  <c r="E1172" i="4"/>
  <c r="E1117" i="4"/>
  <c r="C1120" i="4"/>
  <c r="G1150" i="4"/>
  <c r="B1154" i="4"/>
  <c r="B1131" i="4"/>
  <c r="B1156" i="4"/>
  <c r="E1109" i="4"/>
  <c r="E1166" i="4"/>
  <c r="G1131" i="4"/>
  <c r="F1112" i="4"/>
  <c r="F1159" i="4"/>
  <c r="D1125" i="4"/>
  <c r="F1109" i="4"/>
  <c r="B1129" i="4"/>
  <c r="E1115" i="4"/>
  <c r="E1151" i="4"/>
  <c r="B1171" i="4"/>
  <c r="D1162" i="4"/>
  <c r="E1155" i="4"/>
  <c r="E1161" i="4"/>
  <c r="B1153" i="4"/>
  <c r="C1167" i="4"/>
  <c r="C1127" i="4"/>
  <c r="E1145" i="4"/>
  <c r="D1155" i="4"/>
  <c r="D1132" i="4"/>
  <c r="C1124" i="4"/>
  <c r="G1152" i="4"/>
  <c r="F1135" i="4"/>
  <c r="G1137" i="4"/>
  <c r="F1118" i="4"/>
  <c r="F1166" i="4"/>
  <c r="E1128" i="4"/>
  <c r="B1110" i="4"/>
  <c r="D1154" i="4"/>
  <c r="G1146" i="4"/>
  <c r="E1135" i="4"/>
  <c r="B1147" i="4"/>
  <c r="B1170" i="4"/>
  <c r="F1157" i="4"/>
  <c r="B1165" i="4"/>
  <c r="C1113" i="4"/>
  <c r="D1129" i="4"/>
  <c r="C1108" i="4"/>
  <c r="G1165" i="4"/>
  <c r="A1" i="5"/>
  <c r="E1164" i="4"/>
  <c r="D1160" i="4"/>
  <c r="G1157" i="4"/>
  <c r="C1117" i="4"/>
  <c r="C1158" i="4"/>
  <c r="F1120" i="4"/>
  <c r="E1136" i="4"/>
  <c r="G1176" i="4"/>
  <c r="G1114" i="4"/>
  <c r="B1116" i="4"/>
  <c r="C1161" i="4"/>
  <c r="E1123" i="4"/>
  <c r="C1142" i="4"/>
  <c r="B4" i="4"/>
  <c r="B1174" i="4"/>
  <c r="F1175" i="4"/>
  <c r="E1170" i="4"/>
  <c r="C1109" i="4"/>
  <c r="G1129" i="4"/>
  <c r="B1120" i="4"/>
  <c r="C1176" i="4"/>
  <c r="B1128" i="4"/>
  <c r="D1167" i="4"/>
  <c r="D1171" i="4"/>
  <c r="F1155" i="4"/>
  <c r="F1153" i="4"/>
  <c r="F1164" i="4"/>
  <c r="E1141" i="4"/>
  <c r="C1148" i="4"/>
  <c r="F1143" i="4"/>
  <c r="G1163" i="4"/>
  <c r="D1126" i="4"/>
  <c r="F1133" i="4"/>
  <c r="B1109" i="4"/>
  <c r="G1153" i="4"/>
  <c r="D1130" i="4"/>
  <c r="D1149" i="4"/>
  <c r="G1125" i="4"/>
  <c r="F1150" i="4"/>
  <c r="G1140" i="4"/>
  <c r="C1141" i="4"/>
  <c r="E1148" i="4"/>
  <c r="C1111" i="4"/>
  <c r="G1174" i="4"/>
  <c r="G1127" i="4"/>
  <c r="E1107" i="4"/>
  <c r="B1151" i="4"/>
  <c r="G1154" i="4"/>
  <c r="F1124" i="4"/>
  <c r="F1173" i="4"/>
  <c r="G4" i="4"/>
  <c r="C1156" i="4"/>
  <c r="F4" i="4"/>
  <c r="C1164" i="4"/>
  <c r="G1117" i="4"/>
  <c r="F1134" i="4"/>
  <c r="C1136" i="4"/>
  <c r="D1145" i="4"/>
  <c r="E1150" i="4"/>
  <c r="D1172" i="4"/>
  <c r="B1149" i="4"/>
  <c r="C1154" i="4"/>
  <c r="F1163" i="4"/>
  <c r="E1126" i="4"/>
  <c r="B1145" i="4"/>
  <c r="C1146" i="4"/>
  <c r="B1134" i="4"/>
  <c r="E1127" i="4"/>
  <c r="G1173" i="4"/>
  <c r="G1108" i="4"/>
  <c r="F1140" i="4"/>
  <c r="F1142" i="4"/>
  <c r="B1148" i="4"/>
  <c r="G1162" i="4"/>
  <c r="G1111" i="4"/>
  <c r="D1120" i="4"/>
  <c r="E1162" i="4"/>
  <c r="B3" i="4"/>
  <c r="F1147" i="4"/>
  <c r="D4" i="4"/>
  <c r="F1174" i="4"/>
  <c r="D1144" i="4"/>
  <c r="B1117" i="4"/>
  <c r="D1113" i="4"/>
  <c r="D1131" i="4"/>
  <c r="C1135" i="4"/>
  <c r="C4" i="4"/>
  <c r="D1123" i="4"/>
  <c r="C3" i="4"/>
  <c r="G1135" i="4"/>
  <c r="G1110" i="4"/>
  <c r="G1107" i="4"/>
  <c r="E1112" i="4"/>
  <c r="E1153" i="4"/>
  <c r="B1163" i="4"/>
  <c r="C1144" i="4"/>
  <c r="G1164" i="4"/>
  <c r="C1130" i="4"/>
  <c r="B1150" i="4"/>
  <c r="B1146" i="4"/>
  <c r="D1164" i="4"/>
  <c r="D1114" i="4"/>
  <c r="G1142" i="4"/>
  <c r="D1166" i="4"/>
  <c r="C1174" i="4"/>
  <c r="C1118" i="4"/>
  <c r="B1160" i="4"/>
  <c r="E1121" i="4"/>
  <c r="C1122" i="4"/>
  <c r="F1125" i="4"/>
  <c r="E1154" i="4"/>
  <c r="D1147" i="4"/>
  <c r="E1131" i="4"/>
  <c r="E1108" i="4"/>
  <c r="F1152" i="4"/>
  <c r="B1161" i="4"/>
  <c r="D1140" i="4"/>
  <c r="E1173" i="4"/>
  <c r="C1105" i="4"/>
  <c r="B1176" i="4"/>
  <c r="B1162" i="4"/>
  <c r="E1142" i="4"/>
  <c r="F1169" i="4"/>
  <c r="F1145" i="4"/>
  <c r="E1114" i="4"/>
  <c r="D1150" i="4"/>
  <c r="G1122" i="4"/>
  <c r="B1164" i="4"/>
  <c r="D1152" i="4"/>
  <c r="D1165" i="4"/>
  <c r="F1106" i="4"/>
  <c r="D1143" i="4"/>
  <c r="B1133" i="4"/>
  <c r="C1166" i="4"/>
  <c r="D1136" i="4"/>
  <c r="E1156" i="4"/>
  <c r="D1170" i="4"/>
  <c r="F1151" i="4"/>
  <c r="D1168" i="4"/>
  <c r="C1137" i="4"/>
  <c r="E1110" i="4"/>
  <c r="E1152" i="4"/>
  <c r="G3" i="4"/>
  <c r="B1107" i="4"/>
  <c r="G1116" i="4"/>
  <c r="B1136" i="4"/>
  <c r="C1153" i="4"/>
  <c r="E1111" i="4"/>
  <c r="C1132" i="4"/>
  <c r="G1126" i="4"/>
  <c r="B1105" i="4"/>
  <c r="B1112" i="4"/>
  <c r="D1159" i="4"/>
  <c r="G1170" i="4"/>
  <c r="E1157" i="4"/>
  <c r="C1128" i="4"/>
  <c r="C1160" i="4"/>
  <c r="B1139" i="4"/>
  <c r="D1157" i="4"/>
  <c r="F1156" i="4"/>
  <c r="G1160" i="4"/>
  <c r="E1174" i="4"/>
  <c r="C1151" i="4"/>
  <c r="E1124" i="4"/>
  <c r="C1168" i="4"/>
  <c r="E1165" i="4"/>
  <c r="C1119" i="4"/>
  <c r="G1120" i="4"/>
  <c r="C1157" i="4"/>
  <c r="B1152" i="4"/>
  <c r="C1139" i="4"/>
  <c r="C1169" i="4"/>
  <c r="F1172" i="4"/>
  <c r="F1131" i="4"/>
  <c r="G1141" i="4"/>
  <c r="F1105" i="4"/>
  <c r="D1118" i="4"/>
  <c r="F1154" i="4"/>
  <c r="E1105" i="4"/>
  <c r="B1125" i="4"/>
  <c r="B1159" i="4"/>
  <c r="G1171" i="4"/>
  <c r="E4" i="4"/>
  <c r="B1118" i="4"/>
  <c r="C1147" i="4"/>
  <c r="B1130" i="4"/>
  <c r="D1121" i="4"/>
  <c r="D1135" i="4"/>
  <c r="F1126" i="4"/>
  <c r="C1121" i="4"/>
  <c r="D1158" i="4"/>
  <c r="E1160" i="4"/>
  <c r="C1143" i="4"/>
  <c r="C1106" i="4"/>
  <c r="F1116" i="4"/>
  <c r="G1147" i="4"/>
  <c r="E1143" i="4"/>
  <c r="G1151" i="4"/>
  <c r="G1159" i="4"/>
  <c r="F1137" i="4"/>
  <c r="B1114" i="4"/>
  <c r="D1156" i="4"/>
  <c r="B1172" i="4"/>
  <c r="F1114" i="4"/>
  <c r="C1140" i="4"/>
  <c r="G1139" i="4"/>
  <c r="E1125" i="4"/>
  <c r="C1125" i="4"/>
  <c r="C1171" i="4"/>
  <c r="B1173" i="4"/>
  <c r="C1172" i="4"/>
  <c r="F1129" i="4"/>
  <c r="B1108" i="4"/>
  <c r="F1176" i="4"/>
  <c r="F1162" i="4"/>
  <c r="B1122" i="4"/>
  <c r="F1171" i="4"/>
  <c r="E1137" i="4"/>
  <c r="E1113" i="4"/>
  <c r="B1158" i="4"/>
  <c r="D1112" i="4"/>
  <c r="E1130" i="4"/>
  <c r="D1148" i="4"/>
  <c r="D1116" i="4"/>
  <c r="E1159" i="4"/>
  <c r="G1155" i="4"/>
  <c r="D1128" i="4"/>
  <c r="D1151" i="4"/>
  <c r="F1108" i="4"/>
  <c r="G1166" i="4"/>
  <c r="F3" i="4"/>
  <c r="B1169" i="4"/>
  <c r="G1168" i="4"/>
  <c r="F1138" i="4"/>
  <c r="E1133" i="4"/>
  <c r="E1149" i="4"/>
  <c r="F1160" i="4"/>
  <c r="E1163" i="4"/>
  <c r="D1142" i="4"/>
  <c r="E1146" i="4"/>
  <c r="F1146" i="4"/>
  <c r="G1156" i="4"/>
  <c r="F1122" i="4"/>
  <c r="D1109" i="4"/>
  <c r="B1115" i="4"/>
  <c r="D1107" i="4"/>
  <c r="G1118" i="4"/>
  <c r="G1113" i="4"/>
  <c r="E1167" i="4"/>
  <c r="G1145" i="4"/>
  <c r="F1170" i="4"/>
  <c r="F1148" i="4"/>
  <c r="D1106" i="4"/>
  <c r="D1161" i="4"/>
  <c r="D3" i="4"/>
  <c r="C1163" i="4"/>
  <c r="D1141" i="4"/>
  <c r="C1149" i="4"/>
  <c r="C1129" i="4"/>
  <c r="B1167" i="4"/>
  <c r="B1123" i="4"/>
  <c r="B1135" i="4"/>
  <c r="G1143" i="4"/>
  <c r="E3" i="4"/>
  <c r="M1182" i="7" l="1"/>
  <c r="N1182" i="7" s="1"/>
  <c r="K1179" i="7"/>
  <c r="E1180" i="7"/>
  <c r="B1180" i="6"/>
  <c r="O1180" i="7"/>
  <c r="P1181" i="7"/>
  <c r="O1181" i="7"/>
  <c r="P1180" i="7"/>
  <c r="Q1180" i="7" s="1"/>
  <c r="G1180" i="7"/>
  <c r="K1180" i="7"/>
  <c r="M1180" i="7" s="1"/>
  <c r="B1179" i="6"/>
  <c r="K1181" i="7"/>
  <c r="L1181" i="7"/>
  <c r="F1181" i="7"/>
  <c r="E1181" i="7"/>
  <c r="F1179" i="7"/>
  <c r="K1178" i="7"/>
  <c r="P1179" i="7"/>
  <c r="E1179" i="7"/>
  <c r="O1179" i="7"/>
  <c r="B1178" i="6"/>
  <c r="L1179" i="7"/>
  <c r="M1179" i="7" s="1"/>
  <c r="P1178" i="7"/>
  <c r="F1178" i="7"/>
  <c r="F1018" i="7"/>
  <c r="F1082" i="7"/>
  <c r="E1178" i="7"/>
  <c r="O1178" i="7"/>
  <c r="B1177" i="6"/>
  <c r="L1178" i="7"/>
  <c r="K1177" i="7"/>
  <c r="P1177" i="7"/>
  <c r="E1175" i="7"/>
  <c r="E1177" i="7"/>
  <c r="F1177" i="7"/>
  <c r="O1177" i="7"/>
  <c r="H1127" i="4"/>
  <c r="H1124" i="4"/>
  <c r="H1139" i="4"/>
  <c r="H1111" i="4"/>
  <c r="H1174" i="4"/>
  <c r="H1152" i="4"/>
  <c r="I1170" i="4"/>
  <c r="I1135" i="4"/>
  <c r="I1123" i="4"/>
  <c r="H1170" i="4"/>
  <c r="H1120" i="4"/>
  <c r="H1117" i="4"/>
  <c r="H1147" i="4"/>
  <c r="I1172" i="4"/>
  <c r="H1173" i="4"/>
  <c r="H1168" i="4"/>
  <c r="I1117" i="4"/>
  <c r="I1114" i="4"/>
  <c r="H1128" i="4"/>
  <c r="I1156" i="4"/>
  <c r="H1165" i="4"/>
  <c r="H1154" i="4"/>
  <c r="H1108" i="4"/>
  <c r="I1112" i="4"/>
  <c r="H1156" i="4"/>
  <c r="H1160" i="4"/>
  <c r="H1109" i="4"/>
  <c r="H1131" i="4"/>
  <c r="I1175" i="4"/>
  <c r="I1109" i="4"/>
  <c r="I1108" i="4"/>
  <c r="B1108" i="6" s="1"/>
  <c r="I1141" i="4"/>
  <c r="I1125" i="4"/>
  <c r="I1171" i="4"/>
  <c r="I1131" i="4"/>
  <c r="H1105" i="4"/>
  <c r="I1166" i="4"/>
  <c r="I1161" i="4"/>
  <c r="H1137" i="4"/>
  <c r="I1147" i="4"/>
  <c r="H1112" i="4"/>
  <c r="I1120" i="4"/>
  <c r="H1161" i="4"/>
  <c r="H1153" i="4"/>
  <c r="I1121" i="4"/>
  <c r="H1143" i="4"/>
  <c r="H1129" i="4"/>
  <c r="I1176" i="4"/>
  <c r="I1111" i="4"/>
  <c r="I1157" i="4"/>
  <c r="I1106" i="4"/>
  <c r="I1145" i="4"/>
  <c r="I1115" i="4"/>
  <c r="I1139" i="4"/>
  <c r="H1113" i="4"/>
  <c r="H1157" i="4"/>
  <c r="I1151" i="4"/>
  <c r="I1153" i="4"/>
  <c r="H1140" i="4"/>
  <c r="H1171" i="4"/>
  <c r="I1136" i="4"/>
  <c r="I1116" i="4"/>
  <c r="I1118" i="4"/>
  <c r="I1158" i="4"/>
  <c r="I1129" i="4"/>
  <c r="H1138" i="4"/>
  <c r="H1163" i="4"/>
  <c r="I1150" i="4"/>
  <c r="I1169" i="4"/>
  <c r="I1140" i="4"/>
  <c r="H1136" i="4"/>
  <c r="H1155" i="4"/>
  <c r="H1146" i="4"/>
  <c r="H1144" i="4"/>
  <c r="H1169" i="4"/>
  <c r="H1150" i="4"/>
  <c r="I1132" i="4"/>
  <c r="I1159" i="4"/>
  <c r="I1164" i="4"/>
  <c r="H1106" i="4"/>
  <c r="I1133" i="4"/>
  <c r="H1132" i="4"/>
  <c r="I1119" i="4"/>
  <c r="I1163" i="4"/>
  <c r="I1138" i="4"/>
  <c r="I1149" i="4"/>
  <c r="I1168" i="4"/>
  <c r="I1127" i="4"/>
  <c r="H1142" i="4"/>
  <c r="I1110" i="4"/>
  <c r="I1146" i="4"/>
  <c r="H1175" i="4"/>
  <c r="I1154" i="4"/>
  <c r="I1148" i="4"/>
  <c r="H1119" i="4"/>
  <c r="H1121" i="4"/>
  <c r="H1151" i="4"/>
  <c r="H1166" i="4"/>
  <c r="I1105" i="4"/>
  <c r="I1113" i="4"/>
  <c r="I1137" i="4"/>
  <c r="H1115" i="4"/>
  <c r="H1125" i="4"/>
  <c r="H1158" i="4"/>
  <c r="H1159" i="4"/>
  <c r="H1126" i="4"/>
  <c r="H1148" i="4"/>
  <c r="H1118" i="4"/>
  <c r="H1110" i="4"/>
  <c r="I1130" i="4"/>
  <c r="H1130" i="4"/>
  <c r="I1167" i="4"/>
  <c r="I1173" i="4"/>
  <c r="H1135" i="4"/>
  <c r="I1128" i="4"/>
  <c r="B1128" i="6" s="1"/>
  <c r="H1167" i="4"/>
  <c r="H1176" i="4"/>
  <c r="H1122" i="4"/>
  <c r="H1123" i="4"/>
  <c r="I1107" i="4"/>
  <c r="H1162" i="4"/>
  <c r="H1141" i="4"/>
  <c r="I1174" i="4"/>
  <c r="I1142" i="4"/>
  <c r="I1124" i="4"/>
  <c r="H1114" i="4"/>
  <c r="I1160" i="4"/>
  <c r="H1116" i="4"/>
  <c r="H1172" i="4"/>
  <c r="I1165" i="4"/>
  <c r="H1164" i="4"/>
  <c r="H1149" i="4"/>
  <c r="I1162" i="4"/>
  <c r="H1133" i="4"/>
  <c r="I1134" i="4"/>
  <c r="I1144" i="4"/>
  <c r="I1155" i="4"/>
  <c r="I1126" i="4"/>
  <c r="B1126" i="6" s="1"/>
  <c r="I1122" i="4"/>
  <c r="I1143" i="4"/>
  <c r="I1152" i="4"/>
  <c r="H1134" i="4"/>
  <c r="H1145" i="4"/>
  <c r="H1107" i="4"/>
  <c r="L1177" i="7"/>
  <c r="K1176" i="7"/>
  <c r="F1176" i="7"/>
  <c r="K1175" i="7"/>
  <c r="P1176" i="7"/>
  <c r="E1176" i="7"/>
  <c r="O1176" i="7"/>
  <c r="L1176" i="7"/>
  <c r="P1175" i="7"/>
  <c r="L1175" i="7"/>
  <c r="O1175" i="7"/>
  <c r="F1175" i="7"/>
  <c r="L1174" i="7"/>
  <c r="P1174" i="7"/>
  <c r="K1174" i="7"/>
  <c r="F1173" i="7"/>
  <c r="E1174" i="7"/>
  <c r="F1174" i="7"/>
  <c r="O1174" i="7"/>
  <c r="L1173" i="7"/>
  <c r="P1173" i="7"/>
  <c r="O1173" i="7"/>
  <c r="E1173" i="7"/>
  <c r="K1173" i="7"/>
  <c r="F1172" i="7"/>
  <c r="K1172" i="7"/>
  <c r="P1172" i="7"/>
  <c r="L1172" i="7"/>
  <c r="E1172" i="7"/>
  <c r="O1172" i="7"/>
  <c r="K1171" i="7"/>
  <c r="E1171" i="7"/>
  <c r="F1170" i="7"/>
  <c r="P1171" i="7"/>
  <c r="O1171" i="7"/>
  <c r="F1171" i="7"/>
  <c r="L1171" i="7"/>
  <c r="K1170" i="7"/>
  <c r="L1170" i="7"/>
  <c r="P1170" i="7"/>
  <c r="E1170" i="7"/>
  <c r="O1170" i="7"/>
  <c r="K1169" i="7"/>
  <c r="P1169" i="7"/>
  <c r="F1169" i="7"/>
  <c r="E1169" i="7"/>
  <c r="O1169" i="7"/>
  <c r="L1169" i="7"/>
  <c r="J1163" i="7"/>
  <c r="C1168" i="7"/>
  <c r="P1168" i="7"/>
  <c r="J1168" i="7"/>
  <c r="D1168" i="7"/>
  <c r="O1168" i="7"/>
  <c r="I1168" i="7"/>
  <c r="O1166" i="7"/>
  <c r="P1167" i="7"/>
  <c r="Q1167" i="7" s="1"/>
  <c r="R1167" i="7" s="1"/>
  <c r="C1167" i="8" s="1"/>
  <c r="J1167" i="7"/>
  <c r="K1167" i="7" s="1"/>
  <c r="C1167" i="7"/>
  <c r="D1167" i="7"/>
  <c r="J1166" i="7"/>
  <c r="P1166" i="7"/>
  <c r="C1157" i="7"/>
  <c r="D1166" i="7"/>
  <c r="I1165" i="7"/>
  <c r="C1166" i="7"/>
  <c r="I1166" i="7"/>
  <c r="P1165" i="7"/>
  <c r="O1165" i="7"/>
  <c r="C1165" i="7"/>
  <c r="D1165" i="7"/>
  <c r="J1165" i="7"/>
  <c r="P1164" i="7"/>
  <c r="I1164" i="7"/>
  <c r="J1164" i="7"/>
  <c r="D1164" i="7"/>
  <c r="C1164" i="7"/>
  <c r="O1164" i="7"/>
  <c r="I1162" i="7"/>
  <c r="P1162" i="7"/>
  <c r="J1160" i="7"/>
  <c r="P1160" i="7"/>
  <c r="P1163" i="7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C1161" i="7"/>
  <c r="D1160" i="7"/>
  <c r="D1163" i="7"/>
  <c r="O1162" i="7"/>
  <c r="O1163" i="7"/>
  <c r="C1160" i="7"/>
  <c r="C1162" i="7"/>
  <c r="P1159" i="7"/>
  <c r="J1159" i="7"/>
  <c r="D1159" i="7"/>
  <c r="I1159" i="7"/>
  <c r="C1159" i="7"/>
  <c r="J1158" i="7"/>
  <c r="P1158" i="7"/>
  <c r="P1157" i="7"/>
  <c r="I1157" i="7"/>
  <c r="J1157" i="7"/>
  <c r="O1157" i="7"/>
  <c r="I1158" i="7"/>
  <c r="C1158" i="7"/>
  <c r="O1158" i="7"/>
  <c r="D1157" i="7"/>
  <c r="D1158" i="7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J1154" i="7"/>
  <c r="P1154" i="7"/>
  <c r="O1154" i="7"/>
  <c r="I1154" i="7"/>
  <c r="D1154" i="7"/>
  <c r="C1154" i="7"/>
  <c r="O1153" i="7"/>
  <c r="P1153" i="7"/>
  <c r="I1153" i="7"/>
  <c r="J1153" i="7"/>
  <c r="O1151" i="7"/>
  <c r="D1153" i="7"/>
  <c r="I1152" i="7"/>
  <c r="P1152" i="7"/>
  <c r="J1152" i="7"/>
  <c r="D1152" i="7"/>
  <c r="O1152" i="7"/>
  <c r="C1152" i="7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O1149" i="7"/>
  <c r="I1149" i="7"/>
  <c r="P1149" i="7"/>
  <c r="D1149" i="7"/>
  <c r="J1149" i="7"/>
  <c r="C1149" i="7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P1146" i="7"/>
  <c r="I1146" i="7"/>
  <c r="O1145" i="7"/>
  <c r="O1146" i="7"/>
  <c r="J1146" i="7"/>
  <c r="D1146" i="7"/>
  <c r="C1146" i="7"/>
  <c r="O1144" i="7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I1142" i="7"/>
  <c r="P1142" i="7"/>
  <c r="J1142" i="7"/>
  <c r="C1126" i="7"/>
  <c r="D1142" i="7"/>
  <c r="C1142" i="7"/>
  <c r="O1140" i="7"/>
  <c r="O1141" i="7"/>
  <c r="I1141" i="7"/>
  <c r="P1141" i="7"/>
  <c r="J1141" i="7"/>
  <c r="D1141" i="7"/>
  <c r="C1141" i="7"/>
  <c r="I1140" i="7"/>
  <c r="P1140" i="7"/>
  <c r="C1140" i="7"/>
  <c r="J1140" i="7"/>
  <c r="D1140" i="7"/>
  <c r="O1138" i="7"/>
  <c r="O1139" i="7"/>
  <c r="J1139" i="7"/>
  <c r="P1139" i="7"/>
  <c r="O1137" i="7"/>
  <c r="C1139" i="7"/>
  <c r="I1139" i="7"/>
  <c r="D1139" i="7"/>
  <c r="I1138" i="7"/>
  <c r="P1138" i="7"/>
  <c r="J1138" i="7"/>
  <c r="C1138" i="7"/>
  <c r="D1138" i="7"/>
  <c r="P1137" i="7"/>
  <c r="D1137" i="7"/>
  <c r="I1137" i="7"/>
  <c r="J1137" i="7"/>
  <c r="C1137" i="7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I1134" i="7"/>
  <c r="O1133" i="7"/>
  <c r="O1134" i="7"/>
  <c r="P1134" i="7"/>
  <c r="J1134" i="7"/>
  <c r="D1134" i="7"/>
  <c r="C1134" i="7"/>
  <c r="I1133" i="7"/>
  <c r="P1133" i="7"/>
  <c r="J1133" i="7"/>
  <c r="D1133" i="7"/>
  <c r="C1133" i="7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I1131" i="7"/>
  <c r="P1131" i="7"/>
  <c r="J1131" i="7"/>
  <c r="C1131" i="7"/>
  <c r="D1131" i="7"/>
  <c r="P1130" i="7"/>
  <c r="I1130" i="7"/>
  <c r="O1130" i="7"/>
  <c r="J1130" i="7"/>
  <c r="D1130" i="7"/>
  <c r="C1130" i="7"/>
  <c r="I1129" i="7"/>
  <c r="P1129" i="7"/>
  <c r="O1128" i="7"/>
  <c r="D1129" i="7"/>
  <c r="J1129" i="7"/>
  <c r="O1129" i="7"/>
  <c r="C1129" i="7"/>
  <c r="D1128" i="7"/>
  <c r="I1128" i="7"/>
  <c r="P1128" i="7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J1126" i="7"/>
  <c r="P1126" i="7"/>
  <c r="D1126" i="7"/>
  <c r="I1126" i="7"/>
  <c r="I1125" i="7"/>
  <c r="P1125" i="7"/>
  <c r="J1125" i="7"/>
  <c r="C1120" i="7"/>
  <c r="D1125" i="7"/>
  <c r="C1125" i="7"/>
  <c r="I1124" i="7"/>
  <c r="P1124" i="7"/>
  <c r="J1124" i="7"/>
  <c r="D1124" i="7"/>
  <c r="C1124" i="7"/>
  <c r="O1124" i="7"/>
  <c r="O1123" i="7"/>
  <c r="O1121" i="7"/>
  <c r="O1122" i="7"/>
  <c r="I1123" i="7"/>
  <c r="P1123" i="7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C1122" i="7"/>
  <c r="P1121" i="7"/>
  <c r="D1121" i="7"/>
  <c r="I1121" i="7"/>
  <c r="J1121" i="7"/>
  <c r="C1121" i="7"/>
  <c r="I1120" i="7"/>
  <c r="P1120" i="7"/>
  <c r="O1120" i="7"/>
  <c r="C1116" i="7"/>
  <c r="D1120" i="7"/>
  <c r="J1120" i="7"/>
  <c r="P1119" i="7"/>
  <c r="I1119" i="7"/>
  <c r="O1119" i="7"/>
  <c r="J1119" i="7"/>
  <c r="D1119" i="7"/>
  <c r="C1119" i="7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I1116" i="7"/>
  <c r="P1116" i="7"/>
  <c r="O1116" i="7"/>
  <c r="J1116" i="7"/>
  <c r="O1113" i="7"/>
  <c r="D1116" i="7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F412" i="7"/>
  <c r="F477" i="7"/>
  <c r="I1112" i="7"/>
  <c r="P1112" i="7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P1109" i="7"/>
  <c r="I1109" i="7"/>
  <c r="J1109" i="7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E794" i="7"/>
  <c r="E826" i="7"/>
  <c r="E858" i="7"/>
  <c r="E890" i="7"/>
  <c r="E922" i="7"/>
  <c r="E954" i="7"/>
  <c r="E986" i="7"/>
  <c r="G986" i="7" s="1"/>
  <c r="E1018" i="7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B5" i="4"/>
  <c r="C5" i="4"/>
  <c r="D5" i="4"/>
  <c r="F5" i="4"/>
  <c r="E5" i="4"/>
  <c r="G5" i="4"/>
  <c r="N1180" i="7" l="1"/>
  <c r="G1018" i="7"/>
  <c r="G1175" i="7"/>
  <c r="G1181" i="7"/>
  <c r="M1178" i="7"/>
  <c r="G1179" i="7"/>
  <c r="M1181" i="7"/>
  <c r="N1181" i="7" s="1"/>
  <c r="Q1181" i="7"/>
  <c r="R1180" i="7"/>
  <c r="C1180" i="8" s="1"/>
  <c r="J1180" i="8"/>
  <c r="B1168" i="6"/>
  <c r="B1163" i="6"/>
  <c r="B1173" i="6"/>
  <c r="Q1179" i="7"/>
  <c r="R1179" i="7" s="1"/>
  <c r="C1179" i="8" s="1"/>
  <c r="G554" i="7"/>
  <c r="G882" i="7"/>
  <c r="N1179" i="7"/>
  <c r="E1126" i="7"/>
  <c r="B1137" i="6"/>
  <c r="B1118" i="6"/>
  <c r="B1113" i="6"/>
  <c r="B1164" i="6"/>
  <c r="G1178" i="7"/>
  <c r="N1178" i="7" s="1"/>
  <c r="B1145" i="6"/>
  <c r="B1148" i="6"/>
  <c r="B1170" i="6"/>
  <c r="B1129" i="6"/>
  <c r="B1134" i="6"/>
  <c r="Q1178" i="7"/>
  <c r="J1178" i="8" s="1"/>
  <c r="M1177" i="7"/>
  <c r="B1120" i="6"/>
  <c r="B1130" i="6"/>
  <c r="B1169" i="6"/>
  <c r="B1136" i="6"/>
  <c r="G793" i="7"/>
  <c r="G762" i="7"/>
  <c r="B1119" i="6"/>
  <c r="B1152" i="6"/>
  <c r="B1154" i="6"/>
  <c r="B1143" i="6"/>
  <c r="B1149" i="6"/>
  <c r="B1165" i="6"/>
  <c r="B1172" i="6"/>
  <c r="B1159" i="6"/>
  <c r="B1125" i="6"/>
  <c r="B1116" i="6"/>
  <c r="B1107" i="6"/>
  <c r="B1158" i="6"/>
  <c r="B1141" i="6"/>
  <c r="B1135" i="6"/>
  <c r="B1144" i="6"/>
  <c r="B1157" i="6"/>
  <c r="B1155" i="6"/>
  <c r="B1133" i="6"/>
  <c r="B1112" i="6"/>
  <c r="E1153" i="7"/>
  <c r="B1160" i="6"/>
  <c r="B1114" i="6"/>
  <c r="B1151" i="6"/>
  <c r="B1123" i="6"/>
  <c r="B1127" i="6"/>
  <c r="G969" i="7"/>
  <c r="B1162" i="6"/>
  <c r="B1124" i="6"/>
  <c r="B1110" i="6"/>
  <c r="B1138" i="6"/>
  <c r="B1132" i="6"/>
  <c r="B1115" i="6"/>
  <c r="B1121" i="6"/>
  <c r="B1166" i="6"/>
  <c r="B1147" i="6"/>
  <c r="B1142" i="6"/>
  <c r="B1167" i="6"/>
  <c r="B1171" i="6"/>
  <c r="B1153" i="6"/>
  <c r="B1156" i="6"/>
  <c r="B1117" i="6"/>
  <c r="B1122" i="6"/>
  <c r="B1146" i="6"/>
  <c r="B1140" i="6"/>
  <c r="B1106" i="6"/>
  <c r="B1161" i="6"/>
  <c r="B1109" i="6"/>
  <c r="B1139" i="6"/>
  <c r="M1176" i="7"/>
  <c r="Q1177" i="7"/>
  <c r="J1177" i="8" s="1"/>
  <c r="G1176" i="7"/>
  <c r="B1175" i="6"/>
  <c r="B1150" i="6"/>
  <c r="B1111" i="6"/>
  <c r="B1174" i="6"/>
  <c r="B1131" i="6"/>
  <c r="B1176" i="6"/>
  <c r="R1177" i="7"/>
  <c r="C1177" i="8" s="1"/>
  <c r="G1177" i="7"/>
  <c r="M1175" i="7"/>
  <c r="N1175" i="7" s="1"/>
  <c r="Q1176" i="7"/>
  <c r="R1176" i="7" s="1"/>
  <c r="C1176" i="8" s="1"/>
  <c r="Q1175" i="7"/>
  <c r="R1175" i="7" s="1"/>
  <c r="C1175" i="8" s="1"/>
  <c r="M1174" i="7"/>
  <c r="Q1174" i="7"/>
  <c r="J1174" i="8" s="1"/>
  <c r="G1173" i="7"/>
  <c r="G1174" i="7"/>
  <c r="M1173" i="7"/>
  <c r="Q1173" i="7"/>
  <c r="R1173" i="7" s="1"/>
  <c r="C1173" i="8" s="1"/>
  <c r="G1172" i="7"/>
  <c r="Q1172" i="7"/>
  <c r="J1172" i="8" s="1"/>
  <c r="M1172" i="7"/>
  <c r="G1170" i="7"/>
  <c r="M1171" i="7"/>
  <c r="G1171" i="7"/>
  <c r="Q1171" i="7"/>
  <c r="J1171" i="8" s="1"/>
  <c r="M1170" i="7"/>
  <c r="Q1170" i="7"/>
  <c r="R1170" i="7" s="1"/>
  <c r="C1170" i="8" s="1"/>
  <c r="M1169" i="7"/>
  <c r="F1157" i="7"/>
  <c r="G1169" i="7"/>
  <c r="Q1169" i="7"/>
  <c r="R1169" i="7" s="1"/>
  <c r="C1169" i="8" s="1"/>
  <c r="K1163" i="7"/>
  <c r="E1168" i="7"/>
  <c r="F1168" i="7"/>
  <c r="Q1168" i="7"/>
  <c r="R1168" i="7" s="1"/>
  <c r="C1168" i="8" s="1"/>
  <c r="K1168" i="7"/>
  <c r="L1168" i="7"/>
  <c r="Q1166" i="7"/>
  <c r="J1166" i="8" s="1"/>
  <c r="L1167" i="7"/>
  <c r="M1167" i="7" s="1"/>
  <c r="J1167" i="8"/>
  <c r="K1165" i="7"/>
  <c r="E1167" i="7"/>
  <c r="F1167" i="7"/>
  <c r="K1166" i="7"/>
  <c r="E1166" i="7"/>
  <c r="F1166" i="7"/>
  <c r="L1166" i="7"/>
  <c r="K1164" i="7"/>
  <c r="Q1165" i="7"/>
  <c r="J1165" i="8" s="1"/>
  <c r="E1165" i="7"/>
  <c r="F1165" i="7"/>
  <c r="L1165" i="7"/>
  <c r="L1163" i="7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E1160" i="7"/>
  <c r="F1160" i="7"/>
  <c r="L1157" i="7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K1157" i="7"/>
  <c r="Q1156" i="7"/>
  <c r="J1156" i="8" s="1"/>
  <c r="E1156" i="7"/>
  <c r="F1156" i="7"/>
  <c r="L1156" i="7"/>
  <c r="F1155" i="7"/>
  <c r="Q1155" i="7"/>
  <c r="R1155" i="7" s="1"/>
  <c r="C1155" i="8" s="1"/>
  <c r="E1155" i="7"/>
  <c r="L1155" i="7"/>
  <c r="L1154" i="7"/>
  <c r="K1155" i="7"/>
  <c r="Q1154" i="7"/>
  <c r="J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Q1152" i="7"/>
  <c r="K1152" i="7"/>
  <c r="E1152" i="7"/>
  <c r="F1152" i="7"/>
  <c r="K1151" i="7"/>
  <c r="L1151" i="7"/>
  <c r="F1151" i="7"/>
  <c r="E1151" i="7"/>
  <c r="Q1150" i="7"/>
  <c r="R1150" i="7" s="1"/>
  <c r="K1150" i="7"/>
  <c r="E1150" i="7"/>
  <c r="F1150" i="7"/>
  <c r="L1150" i="7"/>
  <c r="Q1149" i="7"/>
  <c r="R1149" i="7" s="1"/>
  <c r="K1149" i="7"/>
  <c r="E1149" i="7"/>
  <c r="F1149" i="7"/>
  <c r="L1149" i="7"/>
  <c r="Q1147" i="7"/>
  <c r="R1147" i="7" s="1"/>
  <c r="Q1148" i="7"/>
  <c r="R1148" i="7" s="1"/>
  <c r="K1148" i="7"/>
  <c r="Q1144" i="7"/>
  <c r="L1148" i="7"/>
  <c r="E1148" i="7"/>
  <c r="F1148" i="7"/>
  <c r="K1147" i="7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B6" i="4"/>
  <c r="D6" i="4"/>
  <c r="E6" i="4"/>
  <c r="F6" i="4"/>
  <c r="G6" i="4"/>
  <c r="C6" i="4"/>
  <c r="J1181" i="8" l="1"/>
  <c r="R1181" i="7"/>
  <c r="C1181" i="8" s="1"/>
  <c r="C1180" i="6"/>
  <c r="D1180" i="6" s="1"/>
  <c r="K1181" i="8" s="1"/>
  <c r="C1179" i="6"/>
  <c r="D1179" i="6" s="1"/>
  <c r="K1180" i="8" s="1"/>
  <c r="J1179" i="8"/>
  <c r="C1178" i="6"/>
  <c r="D1178" i="6" s="1"/>
  <c r="K1179" i="8" s="1"/>
  <c r="R1178" i="7"/>
  <c r="C1178" i="8" s="1"/>
  <c r="N1177" i="7"/>
  <c r="C1177" i="6"/>
  <c r="D1177" i="6" s="1"/>
  <c r="K1178" i="8" s="1"/>
  <c r="C1175" i="6"/>
  <c r="D1175" i="6" s="1"/>
  <c r="K1176" i="8" s="1"/>
  <c r="C1160" i="6"/>
  <c r="D1160" i="6" s="1"/>
  <c r="C1149" i="6"/>
  <c r="D1149" i="6" s="1"/>
  <c r="K1150" i="8" s="1"/>
  <c r="C1162" i="6"/>
  <c r="D1162" i="6" s="1"/>
  <c r="K1163" i="8" s="1"/>
  <c r="C1163" i="6"/>
  <c r="D1163" i="6" s="1"/>
  <c r="K1164" i="8" s="1"/>
  <c r="C1147" i="6"/>
  <c r="D1147" i="6" s="1"/>
  <c r="K1148" i="8" s="1"/>
  <c r="C1168" i="6"/>
  <c r="D1168" i="6" s="1"/>
  <c r="K1169" i="8" s="1"/>
  <c r="C1148" i="6"/>
  <c r="D1148" i="6" s="1"/>
  <c r="K1149" i="8" s="1"/>
  <c r="C1151" i="6"/>
  <c r="D1151" i="6" s="1"/>
  <c r="C1155" i="6"/>
  <c r="D1155" i="6" s="1"/>
  <c r="K1156" i="8" s="1"/>
  <c r="C1167" i="6"/>
  <c r="D1167" i="6" s="1"/>
  <c r="K1168" i="8" s="1"/>
  <c r="C1154" i="6"/>
  <c r="D1154" i="6" s="1"/>
  <c r="K1155" i="8" s="1"/>
  <c r="C1173" i="6"/>
  <c r="D1173" i="6" s="1"/>
  <c r="K1174" i="8" s="1"/>
  <c r="C1152" i="6"/>
  <c r="D1152" i="6" s="1"/>
  <c r="C1166" i="6"/>
  <c r="D1166" i="6" s="1"/>
  <c r="K1167" i="8" s="1"/>
  <c r="C1169" i="6"/>
  <c r="D1169" i="6" s="1"/>
  <c r="K1170" i="8" s="1"/>
  <c r="C1171" i="6"/>
  <c r="D1171" i="6" s="1"/>
  <c r="K1172" i="8" s="1"/>
  <c r="C1176" i="6"/>
  <c r="D1176" i="6" s="1"/>
  <c r="C1159" i="6"/>
  <c r="D1159" i="6" s="1"/>
  <c r="C1164" i="6"/>
  <c r="D1164" i="6" s="1"/>
  <c r="C1172" i="6"/>
  <c r="D1172" i="6" s="1"/>
  <c r="K1173" i="8" s="1"/>
  <c r="C1157" i="6"/>
  <c r="D1157" i="6" s="1"/>
  <c r="N1176" i="7"/>
  <c r="C1153" i="6"/>
  <c r="D1153" i="6" s="1"/>
  <c r="C1156" i="6"/>
  <c r="D1156" i="6" s="1"/>
  <c r="K1157" i="8" s="1"/>
  <c r="C1161" i="6"/>
  <c r="D1161" i="6" s="1"/>
  <c r="K1162" i="8" s="1"/>
  <c r="C1165" i="6"/>
  <c r="D1165" i="6" s="1"/>
  <c r="C1170" i="6"/>
  <c r="D1170" i="6" s="1"/>
  <c r="K1171" i="8" s="1"/>
  <c r="C1158" i="6"/>
  <c r="D1158" i="6" s="1"/>
  <c r="C1150" i="6"/>
  <c r="D1150" i="6" s="1"/>
  <c r="C1174" i="6"/>
  <c r="D1174" i="6" s="1"/>
  <c r="K1175" i="8" s="1"/>
  <c r="J1176" i="8"/>
  <c r="J1175" i="8"/>
  <c r="N1174" i="7"/>
  <c r="R1174" i="7"/>
  <c r="C1174" i="8" s="1"/>
  <c r="N1173" i="7"/>
  <c r="G1157" i="7"/>
  <c r="J1173" i="8"/>
  <c r="N1170" i="7"/>
  <c r="N1172" i="7"/>
  <c r="R1172" i="7"/>
  <c r="C1172" i="8" s="1"/>
  <c r="N1171" i="7"/>
  <c r="R1171" i="7"/>
  <c r="C1171" i="8" s="1"/>
  <c r="J1170" i="8"/>
  <c r="N1169" i="7"/>
  <c r="J1169" i="8"/>
  <c r="M1163" i="7"/>
  <c r="G1168" i="7"/>
  <c r="M1168" i="7"/>
  <c r="J1168" i="8"/>
  <c r="R1166" i="7"/>
  <c r="C1166" i="8" s="1"/>
  <c r="M1165" i="7"/>
  <c r="G1167" i="7"/>
  <c r="N1167" i="7" s="1"/>
  <c r="M1161" i="7"/>
  <c r="M1166" i="7"/>
  <c r="M1164" i="7"/>
  <c r="G1166" i="7"/>
  <c r="G1165" i="7"/>
  <c r="R1165" i="7"/>
  <c r="C1165" i="8" s="1"/>
  <c r="M1160" i="7"/>
  <c r="J1159" i="8"/>
  <c r="G1163" i="7"/>
  <c r="G1164" i="7"/>
  <c r="J1164" i="8"/>
  <c r="R1163" i="7"/>
  <c r="C1163" i="8" s="1"/>
  <c r="J1160" i="8"/>
  <c r="R1161" i="7"/>
  <c r="C1161" i="8" s="1"/>
  <c r="G1161" i="7"/>
  <c r="J1162" i="8"/>
  <c r="M1162" i="7"/>
  <c r="G1160" i="7"/>
  <c r="M1157" i="7"/>
  <c r="G1162" i="7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C7" i="4"/>
  <c r="E7" i="4"/>
  <c r="G7" i="4"/>
  <c r="F7" i="4"/>
  <c r="D7" i="4"/>
  <c r="B7" i="4"/>
  <c r="K1160" i="8" l="1"/>
  <c r="E1179" i="6"/>
  <c r="F1179" i="6" s="1"/>
  <c r="D1180" i="8" s="1"/>
  <c r="K1161" i="8"/>
  <c r="E1180" i="6"/>
  <c r="F1180" i="6" s="1"/>
  <c r="D1181" i="8" s="1"/>
  <c r="G1179" i="6"/>
  <c r="G1180" i="6"/>
  <c r="G1163" i="6"/>
  <c r="L1164" i="8" s="1"/>
  <c r="G1175" i="6"/>
  <c r="L1176" i="8" s="1"/>
  <c r="G1167" i="6"/>
  <c r="H1167" i="6" s="1"/>
  <c r="B1168" i="8" s="1"/>
  <c r="K1159" i="8"/>
  <c r="E1178" i="6"/>
  <c r="F1178" i="6" s="1"/>
  <c r="D1179" i="8" s="1"/>
  <c r="K1166" i="8"/>
  <c r="G1178" i="6"/>
  <c r="G1165" i="6"/>
  <c r="L1166" i="8" s="1"/>
  <c r="K1153" i="8"/>
  <c r="K1151" i="8"/>
  <c r="G1160" i="6"/>
  <c r="H1160" i="6" s="1"/>
  <c r="B1161" i="8" s="1"/>
  <c r="G1162" i="6"/>
  <c r="H1162" i="6" s="1"/>
  <c r="B1163" i="8" s="1"/>
  <c r="G1164" i="6"/>
  <c r="H1164" i="6" s="1"/>
  <c r="B1165" i="8" s="1"/>
  <c r="G1168" i="6"/>
  <c r="L1169" i="8" s="1"/>
  <c r="K1158" i="8"/>
  <c r="E1177" i="6"/>
  <c r="F1177" i="6" s="1"/>
  <c r="D1178" i="8" s="1"/>
  <c r="K1165" i="8"/>
  <c r="G1177" i="6"/>
  <c r="E1173" i="6"/>
  <c r="F1173" i="6" s="1"/>
  <c r="D1174" i="8" s="1"/>
  <c r="E1172" i="6"/>
  <c r="F1172" i="6" s="1"/>
  <c r="D1173" i="8" s="1"/>
  <c r="K1152" i="8"/>
  <c r="E1167" i="6"/>
  <c r="F1167" i="6" s="1"/>
  <c r="D1168" i="8" s="1"/>
  <c r="G1169" i="6"/>
  <c r="L1170" i="8" s="1"/>
  <c r="G1161" i="6"/>
  <c r="H1161" i="6" s="1"/>
  <c r="B1162" i="8" s="1"/>
  <c r="G1176" i="6"/>
  <c r="L1177" i="8" s="1"/>
  <c r="K1177" i="8"/>
  <c r="E1170" i="6"/>
  <c r="F1170" i="6" s="1"/>
  <c r="D1171" i="8" s="1"/>
  <c r="G1172" i="6"/>
  <c r="H1172" i="6" s="1"/>
  <c r="B1173" i="8" s="1"/>
  <c r="E1173" i="8" s="1"/>
  <c r="K1154" i="8"/>
  <c r="G1166" i="6"/>
  <c r="L1167" i="8" s="1"/>
  <c r="G1173" i="6"/>
  <c r="L1174" i="8" s="1"/>
  <c r="E1169" i="6"/>
  <c r="F1169" i="6" s="1"/>
  <c r="D1170" i="8" s="1"/>
  <c r="G1170" i="6"/>
  <c r="H1170" i="6" s="1"/>
  <c r="B1171" i="8" s="1"/>
  <c r="E1171" i="6"/>
  <c r="F1171" i="6" s="1"/>
  <c r="D1172" i="8" s="1"/>
  <c r="E1168" i="6"/>
  <c r="F1168" i="6" s="1"/>
  <c r="D1169" i="8" s="1"/>
  <c r="G1171" i="6"/>
  <c r="L1172" i="8" s="1"/>
  <c r="E1174" i="6"/>
  <c r="F1174" i="6" s="1"/>
  <c r="D1175" i="8" s="1"/>
  <c r="G1174" i="6"/>
  <c r="H1174" i="6" s="1"/>
  <c r="B1175" i="8" s="1"/>
  <c r="E1176" i="6"/>
  <c r="F1176" i="6" s="1"/>
  <c r="D1177" i="8" s="1"/>
  <c r="E1175" i="6"/>
  <c r="F1175" i="6" s="1"/>
  <c r="D1176" i="8" s="1"/>
  <c r="N1157" i="7"/>
  <c r="N1163" i="7"/>
  <c r="N1168" i="7"/>
  <c r="L1168" i="8"/>
  <c r="N1165" i="7"/>
  <c r="N1164" i="7"/>
  <c r="N1166" i="7"/>
  <c r="N1161" i="7"/>
  <c r="N1160" i="7"/>
  <c r="N1162" i="7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D8" i="4"/>
  <c r="C8" i="4"/>
  <c r="F8" i="4"/>
  <c r="G8" i="4"/>
  <c r="B8" i="4"/>
  <c r="E8" i="4"/>
  <c r="L1163" i="8" l="1"/>
  <c r="H1175" i="6"/>
  <c r="B1176" i="8" s="1"/>
  <c r="E1176" i="8" s="1"/>
  <c r="H1180" i="6"/>
  <c r="B1181" i="8" s="1"/>
  <c r="E1181" i="8" s="1"/>
  <c r="L1181" i="8"/>
  <c r="L1180" i="8"/>
  <c r="H1179" i="6"/>
  <c r="B1180" i="8" s="1"/>
  <c r="E1180" i="8" s="1"/>
  <c r="H1176" i="6"/>
  <c r="B1177" i="8" s="1"/>
  <c r="H1163" i="6"/>
  <c r="B1164" i="8" s="1"/>
  <c r="L1161" i="8"/>
  <c r="L1165" i="8"/>
  <c r="H1169" i="6"/>
  <c r="B1170" i="8" s="1"/>
  <c r="E1170" i="8" s="1"/>
  <c r="H1173" i="6"/>
  <c r="B1174" i="8" s="1"/>
  <c r="E1174" i="8" s="1"/>
  <c r="H1165" i="6"/>
  <c r="B1166" i="8" s="1"/>
  <c r="H1178" i="6"/>
  <c r="B1179" i="8" s="1"/>
  <c r="E1179" i="8" s="1"/>
  <c r="L1179" i="8"/>
  <c r="H1168" i="6"/>
  <c r="B1169" i="8" s="1"/>
  <c r="E1169" i="8" s="1"/>
  <c r="L1162" i="8"/>
  <c r="E1171" i="8"/>
  <c r="L1171" i="8"/>
  <c r="H1171" i="6"/>
  <c r="B1172" i="8" s="1"/>
  <c r="E1172" i="8" s="1"/>
  <c r="E1175" i="8"/>
  <c r="H1166" i="6"/>
  <c r="B1167" i="8" s="1"/>
  <c r="L1178" i="8"/>
  <c r="H1177" i="6"/>
  <c r="B1178" i="8" s="1"/>
  <c r="E1178" i="8" s="1"/>
  <c r="L1173" i="8"/>
  <c r="E1168" i="8"/>
  <c r="L1175" i="8"/>
  <c r="E1177" i="8"/>
  <c r="B7" i="6"/>
  <c r="I8" i="4"/>
  <c r="H8" i="4"/>
  <c r="A8" i="6"/>
  <c r="A9" i="8" s="1"/>
  <c r="D9" i="4"/>
  <c r="B9" i="4"/>
  <c r="C9" i="4"/>
  <c r="F9" i="4"/>
  <c r="G9" i="4"/>
  <c r="E9" i="4"/>
  <c r="I9" i="4" l="1"/>
  <c r="H9" i="4"/>
  <c r="A9" i="6"/>
  <c r="A10" i="8" s="1"/>
  <c r="B8" i="6"/>
  <c r="F10" i="4"/>
  <c r="E10" i="4"/>
  <c r="G10" i="4"/>
  <c r="B10" i="4"/>
  <c r="C10" i="4"/>
  <c r="D10" i="4"/>
  <c r="I10" i="4" l="1"/>
  <c r="H10" i="4"/>
  <c r="A10" i="6"/>
  <c r="A11" i="8" s="1"/>
  <c r="B9" i="6"/>
  <c r="B11" i="4"/>
  <c r="G11" i="4"/>
  <c r="C11" i="4"/>
  <c r="D11" i="4"/>
  <c r="F11" i="4"/>
  <c r="E11" i="4"/>
  <c r="H11" i="4" l="1"/>
  <c r="I11" i="4"/>
  <c r="A11" i="6"/>
  <c r="A12" i="8" s="1"/>
  <c r="B10" i="6"/>
  <c r="G12" i="4"/>
  <c r="B12" i="4"/>
  <c r="F12" i="4"/>
  <c r="C12" i="4"/>
  <c r="D12" i="4"/>
  <c r="E12" i="4"/>
  <c r="B11" i="6" l="1"/>
  <c r="I12" i="4"/>
  <c r="H12" i="4"/>
  <c r="A12" i="6"/>
  <c r="A13" i="8" s="1"/>
  <c r="C13" i="4"/>
  <c r="E13" i="4"/>
  <c r="G13" i="4"/>
  <c r="F13" i="4"/>
  <c r="D13" i="4"/>
  <c r="B13" i="4"/>
  <c r="H13" i="4" l="1"/>
  <c r="I13" i="4"/>
  <c r="A13" i="6"/>
  <c r="A14" i="8" s="1"/>
  <c r="B12" i="6"/>
  <c r="E14" i="4"/>
  <c r="F14" i="4"/>
  <c r="B14" i="4"/>
  <c r="C14" i="4"/>
  <c r="G14" i="4"/>
  <c r="D14" i="4"/>
  <c r="B13" i="6" l="1"/>
  <c r="H14" i="4"/>
  <c r="I14" i="4"/>
  <c r="A14" i="6"/>
  <c r="A15" i="8" s="1"/>
  <c r="B15" i="4"/>
  <c r="G15" i="4"/>
  <c r="D15" i="4"/>
  <c r="E15" i="4"/>
  <c r="F15" i="4"/>
  <c r="C15" i="4"/>
  <c r="B14" i="6" l="1"/>
  <c r="H15" i="4"/>
  <c r="I15" i="4"/>
  <c r="A15" i="6"/>
  <c r="A16" i="8" s="1"/>
  <c r="E16" i="4"/>
  <c r="G16" i="4"/>
  <c r="C16" i="4"/>
  <c r="B16" i="4"/>
  <c r="D16" i="4"/>
  <c r="F16" i="4"/>
  <c r="B15" i="6" l="1"/>
  <c r="I16" i="4"/>
  <c r="H16" i="4"/>
  <c r="A16" i="6"/>
  <c r="A17" i="8" s="1"/>
  <c r="C17" i="4"/>
  <c r="B17" i="4"/>
  <c r="F17" i="4"/>
  <c r="E17" i="4"/>
  <c r="G17" i="4"/>
  <c r="D17" i="4"/>
  <c r="I17" i="4" l="1"/>
  <c r="H17" i="4"/>
  <c r="A17" i="6"/>
  <c r="A18" i="8" s="1"/>
  <c r="B16" i="6"/>
  <c r="D18" i="4"/>
  <c r="B18" i="4"/>
  <c r="E18" i="4"/>
  <c r="C18" i="4"/>
  <c r="F18" i="4"/>
  <c r="G18" i="4"/>
  <c r="H18" i="4" l="1"/>
  <c r="I18" i="4"/>
  <c r="A18" i="6"/>
  <c r="A19" i="8" s="1"/>
  <c r="B17" i="6"/>
  <c r="E19" i="4"/>
  <c r="C19" i="4"/>
  <c r="F19" i="4"/>
  <c r="B19" i="4"/>
  <c r="G19" i="4"/>
  <c r="D19" i="4"/>
  <c r="B18" i="6" l="1"/>
  <c r="H19" i="4"/>
  <c r="I19" i="4"/>
  <c r="A19" i="6"/>
  <c r="A20" i="8" s="1"/>
  <c r="G20" i="4"/>
  <c r="C20" i="4"/>
  <c r="F20" i="4"/>
  <c r="B20" i="4"/>
  <c r="D20" i="4"/>
  <c r="E20" i="4"/>
  <c r="B19" i="6" l="1"/>
  <c r="I20" i="4"/>
  <c r="H20" i="4"/>
  <c r="A20" i="6"/>
  <c r="A21" i="8" s="1"/>
  <c r="C21" i="4"/>
  <c r="D21" i="4"/>
  <c r="E21" i="4"/>
  <c r="B21" i="4"/>
  <c r="F21" i="4"/>
  <c r="G21" i="4"/>
  <c r="H21" i="4" l="1"/>
  <c r="I21" i="4"/>
  <c r="A21" i="6"/>
  <c r="A22" i="8" s="1"/>
  <c r="B20" i="6"/>
  <c r="B22" i="4"/>
  <c r="G22" i="4"/>
  <c r="F22" i="4"/>
  <c r="E22" i="4"/>
  <c r="C22" i="4"/>
  <c r="D22" i="4"/>
  <c r="B21" i="6" l="1"/>
  <c r="I22" i="4"/>
  <c r="H22" i="4"/>
  <c r="A22" i="6"/>
  <c r="A23" i="8" s="1"/>
  <c r="C23" i="4"/>
  <c r="B23" i="4"/>
  <c r="F23" i="4"/>
  <c r="G23" i="4"/>
  <c r="D23" i="4"/>
  <c r="E23" i="4"/>
  <c r="I23" i="4" l="1"/>
  <c r="H23" i="4"/>
  <c r="A23" i="6"/>
  <c r="A24" i="8" s="1"/>
  <c r="B22" i="6"/>
  <c r="E24" i="4"/>
  <c r="G24" i="4"/>
  <c r="C24" i="4"/>
  <c r="D24" i="4"/>
  <c r="B24" i="4"/>
  <c r="F24" i="4"/>
  <c r="H24" i="4" l="1"/>
  <c r="I24" i="4"/>
  <c r="A24" i="6"/>
  <c r="A25" i="8" s="1"/>
  <c r="B23" i="6"/>
  <c r="F25" i="4"/>
  <c r="G25" i="4"/>
  <c r="B25" i="4"/>
  <c r="C25" i="4"/>
  <c r="E25" i="4"/>
  <c r="D25" i="4"/>
  <c r="B24" i="6" l="1"/>
  <c r="I25" i="4"/>
  <c r="H25" i="4"/>
  <c r="A25" i="6"/>
  <c r="A26" i="8" s="1"/>
  <c r="C26" i="4"/>
  <c r="E26" i="4"/>
  <c r="D26" i="4"/>
  <c r="G26" i="4"/>
  <c r="F26" i="4"/>
  <c r="B26" i="4"/>
  <c r="H26" i="4" l="1"/>
  <c r="I26" i="4"/>
  <c r="A26" i="6"/>
  <c r="A27" i="8" s="1"/>
  <c r="B25" i="6"/>
  <c r="D27" i="4"/>
  <c r="B27" i="4"/>
  <c r="F27" i="4"/>
  <c r="E27" i="4"/>
  <c r="G27" i="4"/>
  <c r="C27" i="4"/>
  <c r="B26" i="6" l="1"/>
  <c r="I27" i="4"/>
  <c r="H27" i="4"/>
  <c r="A27" i="6"/>
  <c r="A28" i="8" s="1"/>
  <c r="G28" i="4"/>
  <c r="F28" i="4"/>
  <c r="B28" i="4"/>
  <c r="D28" i="4"/>
  <c r="C28" i="4"/>
  <c r="E28" i="4"/>
  <c r="H28" i="4" l="1"/>
  <c r="I28" i="4"/>
  <c r="A28" i="6"/>
  <c r="A29" i="8" s="1"/>
  <c r="B27" i="6"/>
  <c r="F29" i="4"/>
  <c r="G29" i="4"/>
  <c r="E29" i="4"/>
  <c r="C29" i="4"/>
  <c r="D29" i="4"/>
  <c r="B29" i="4"/>
  <c r="B28" i="6" l="1"/>
  <c r="H29" i="4"/>
  <c r="I29" i="4"/>
  <c r="A29" i="6"/>
  <c r="A30" i="8" s="1"/>
  <c r="D30" i="4"/>
  <c r="B30" i="4"/>
  <c r="E30" i="4"/>
  <c r="F30" i="4"/>
  <c r="G30" i="4"/>
  <c r="C30" i="4"/>
  <c r="B29" i="6" l="1"/>
  <c r="H30" i="4"/>
  <c r="I30" i="4"/>
  <c r="A30" i="6"/>
  <c r="A31" i="8" s="1"/>
  <c r="B31" i="4"/>
  <c r="C31" i="4"/>
  <c r="G31" i="4"/>
  <c r="D31" i="4"/>
  <c r="E31" i="4"/>
  <c r="F31" i="4"/>
  <c r="B30" i="6" l="1"/>
  <c r="H31" i="4"/>
  <c r="I31" i="4"/>
  <c r="A31" i="6"/>
  <c r="A32" i="8" s="1"/>
  <c r="B32" i="4"/>
  <c r="D32" i="4"/>
  <c r="C32" i="4"/>
  <c r="G32" i="4"/>
  <c r="F32" i="4"/>
  <c r="E32" i="4"/>
  <c r="B31" i="6" l="1"/>
  <c r="I32" i="4"/>
  <c r="H32" i="4"/>
  <c r="A32" i="6"/>
  <c r="A33" i="8" s="1"/>
  <c r="F33" i="4"/>
  <c r="E33" i="4"/>
  <c r="B33" i="4"/>
  <c r="D33" i="4"/>
  <c r="G33" i="4"/>
  <c r="C33" i="4"/>
  <c r="B32" i="6" l="1"/>
  <c r="I33" i="4"/>
  <c r="H33" i="4"/>
  <c r="A33" i="6"/>
  <c r="A34" i="8" s="1"/>
  <c r="C34" i="4"/>
  <c r="F34" i="4"/>
  <c r="B34" i="4"/>
  <c r="G34" i="4"/>
  <c r="D34" i="4"/>
  <c r="E34" i="4"/>
  <c r="H34" i="4" l="1"/>
  <c r="I34" i="4"/>
  <c r="A34" i="6"/>
  <c r="A35" i="8" s="1"/>
  <c r="B33" i="6"/>
  <c r="B35" i="4"/>
  <c r="D35" i="4"/>
  <c r="E35" i="4"/>
  <c r="F35" i="4"/>
  <c r="C35" i="4"/>
  <c r="G35" i="4"/>
  <c r="B34" i="6" l="1"/>
  <c r="I35" i="4"/>
  <c r="H35" i="4"/>
  <c r="A35" i="6"/>
  <c r="A36" i="8" s="1"/>
  <c r="G36" i="4"/>
  <c r="D36" i="4"/>
  <c r="E36" i="4"/>
  <c r="F36" i="4"/>
  <c r="B36" i="4"/>
  <c r="C36" i="4"/>
  <c r="I36" i="4" l="1"/>
  <c r="H36" i="4"/>
  <c r="A36" i="6"/>
  <c r="A37" i="8" s="1"/>
  <c r="B35" i="6"/>
  <c r="G37" i="4"/>
  <c r="E37" i="4"/>
  <c r="B37" i="4"/>
  <c r="C37" i="4"/>
  <c r="D37" i="4"/>
  <c r="F37" i="4"/>
  <c r="H37" i="4" l="1"/>
  <c r="I37" i="4"/>
  <c r="A37" i="6"/>
  <c r="A38" i="8" s="1"/>
  <c r="B36" i="6"/>
  <c r="E38" i="4"/>
  <c r="C38" i="4"/>
  <c r="G38" i="4"/>
  <c r="F38" i="4"/>
  <c r="B38" i="4"/>
  <c r="D38" i="4"/>
  <c r="B37" i="6" l="1"/>
  <c r="I38" i="4"/>
  <c r="H38" i="4"/>
  <c r="A38" i="6"/>
  <c r="A39" i="8" s="1"/>
  <c r="D39" i="4"/>
  <c r="B39" i="4"/>
  <c r="F39" i="4"/>
  <c r="C39" i="4"/>
  <c r="G39" i="4"/>
  <c r="E39" i="4"/>
  <c r="H39" i="4" l="1"/>
  <c r="I39" i="4"/>
  <c r="A39" i="6"/>
  <c r="A40" i="8" s="1"/>
  <c r="B38" i="6"/>
  <c r="B40" i="4"/>
  <c r="E40" i="4"/>
  <c r="F40" i="4"/>
  <c r="G40" i="4"/>
  <c r="C40" i="4"/>
  <c r="D40" i="4"/>
  <c r="B39" i="6" l="1"/>
  <c r="H40" i="4"/>
  <c r="I40" i="4"/>
  <c r="A40" i="6"/>
  <c r="A41" i="8" s="1"/>
  <c r="G41" i="4"/>
  <c r="E41" i="4"/>
  <c r="C41" i="4"/>
  <c r="F41" i="4"/>
  <c r="D41" i="4"/>
  <c r="B41" i="4"/>
  <c r="B40" i="6" l="1"/>
  <c r="I41" i="4"/>
  <c r="H41" i="4"/>
  <c r="A41" i="6"/>
  <c r="A42" i="8" s="1"/>
  <c r="D42" i="4"/>
  <c r="C42" i="4"/>
  <c r="F42" i="4"/>
  <c r="G42" i="4"/>
  <c r="E42" i="4"/>
  <c r="B42" i="4"/>
  <c r="I42" i="4" l="1"/>
  <c r="H42" i="4"/>
  <c r="A42" i="6"/>
  <c r="A43" i="8" s="1"/>
  <c r="B41" i="6"/>
  <c r="D43" i="4"/>
  <c r="G43" i="4"/>
  <c r="F43" i="4"/>
  <c r="E43" i="4"/>
  <c r="B43" i="4"/>
  <c r="C43" i="4"/>
  <c r="I43" i="4" l="1"/>
  <c r="H43" i="4"/>
  <c r="A43" i="6"/>
  <c r="A44" i="8" s="1"/>
  <c r="B42" i="6"/>
  <c r="G44" i="4"/>
  <c r="C44" i="4"/>
  <c r="D44" i="4"/>
  <c r="E44" i="4"/>
  <c r="F44" i="4"/>
  <c r="B44" i="4"/>
  <c r="I44" i="4" l="1"/>
  <c r="H44" i="4"/>
  <c r="A44" i="6"/>
  <c r="A45" i="8" s="1"/>
  <c r="B43" i="6"/>
  <c r="E45" i="4"/>
  <c r="C45" i="4"/>
  <c r="G45" i="4"/>
  <c r="F45" i="4"/>
  <c r="B45" i="4"/>
  <c r="D45" i="4"/>
  <c r="B44" i="6" l="1"/>
  <c r="I45" i="4"/>
  <c r="H45" i="4"/>
  <c r="A45" i="6"/>
  <c r="A46" i="8" s="1"/>
  <c r="C46" i="4"/>
  <c r="F46" i="4"/>
  <c r="E46" i="4"/>
  <c r="G46" i="4"/>
  <c r="D46" i="4"/>
  <c r="B46" i="4"/>
  <c r="C44" i="6" l="1"/>
  <c r="D44" i="6" s="1"/>
  <c r="H46" i="4"/>
  <c r="I46" i="4"/>
  <c r="A46" i="6"/>
  <c r="A47" i="8" s="1"/>
  <c r="B45" i="6"/>
  <c r="F47" i="4"/>
  <c r="C47" i="4"/>
  <c r="B47" i="4"/>
  <c r="G47" i="4"/>
  <c r="D47" i="4"/>
  <c r="E47" i="4"/>
  <c r="B46" i="6" l="1"/>
  <c r="C46" i="6" s="1"/>
  <c r="D46" i="6" s="1"/>
  <c r="K45" i="8"/>
  <c r="C45" i="6"/>
  <c r="D45" i="6" s="1"/>
  <c r="H47" i="4"/>
  <c r="I47" i="4"/>
  <c r="A47" i="6"/>
  <c r="A48" i="8" s="1"/>
  <c r="E48" i="4"/>
  <c r="G48" i="4"/>
  <c r="D48" i="4"/>
  <c r="B48" i="4"/>
  <c r="F48" i="4"/>
  <c r="C48" i="4"/>
  <c r="B47" i="6" l="1"/>
  <c r="C47" i="6" s="1"/>
  <c r="D47" i="6" s="1"/>
  <c r="K47" i="8"/>
  <c r="K46" i="8"/>
  <c r="I48" i="4"/>
  <c r="H48" i="4"/>
  <c r="A48" i="6"/>
  <c r="A49" i="8" s="1"/>
  <c r="D49" i="4"/>
  <c r="G49" i="4"/>
  <c r="B49" i="4"/>
  <c r="C49" i="4"/>
  <c r="F49" i="4"/>
  <c r="E49" i="4"/>
  <c r="K48" i="8" l="1"/>
  <c r="H49" i="4"/>
  <c r="I49" i="4"/>
  <c r="A49" i="6"/>
  <c r="A50" i="8" s="1"/>
  <c r="B48" i="6"/>
  <c r="F50" i="4"/>
  <c r="G50" i="4"/>
  <c r="B50" i="4"/>
  <c r="D50" i="4"/>
  <c r="E50" i="4"/>
  <c r="C50" i="4"/>
  <c r="B49" i="6" l="1"/>
  <c r="C49" i="6" s="1"/>
  <c r="D49" i="6" s="1"/>
  <c r="C48" i="6"/>
  <c r="D48" i="6" s="1"/>
  <c r="I50" i="4"/>
  <c r="H50" i="4"/>
  <c r="A50" i="6"/>
  <c r="A51" i="8" s="1"/>
  <c r="C51" i="4"/>
  <c r="E51" i="4"/>
  <c r="B51" i="4"/>
  <c r="F51" i="4"/>
  <c r="D51" i="4"/>
  <c r="G51" i="4"/>
  <c r="K49" i="8" l="1"/>
  <c r="K50" i="8"/>
  <c r="B50" i="6"/>
  <c r="I51" i="4"/>
  <c r="H51" i="4"/>
  <c r="A51" i="6"/>
  <c r="A52" i="8" s="1"/>
  <c r="B52" i="4"/>
  <c r="E52" i="4"/>
  <c r="G52" i="4"/>
  <c r="C52" i="4"/>
  <c r="F52" i="4"/>
  <c r="D52" i="4"/>
  <c r="C50" i="6" l="1"/>
  <c r="D50" i="6" s="1"/>
  <c r="H52" i="4"/>
  <c r="I52" i="4"/>
  <c r="A52" i="6"/>
  <c r="A53" i="8" s="1"/>
  <c r="B51" i="6"/>
  <c r="G53" i="4"/>
  <c r="B53" i="4"/>
  <c r="F53" i="4"/>
  <c r="E53" i="4"/>
  <c r="C53" i="4"/>
  <c r="D53" i="4"/>
  <c r="B52" i="6" l="1"/>
  <c r="C52" i="6" s="1"/>
  <c r="D52" i="6" s="1"/>
  <c r="K51" i="8"/>
  <c r="C51" i="6"/>
  <c r="D51" i="6" s="1"/>
  <c r="I53" i="4"/>
  <c r="H53" i="4"/>
  <c r="A53" i="6"/>
  <c r="A54" i="8" s="1"/>
  <c r="B54" i="4"/>
  <c r="E54" i="4"/>
  <c r="F54" i="4"/>
  <c r="C54" i="4"/>
  <c r="G54" i="4"/>
  <c r="D54" i="4"/>
  <c r="K52" i="8" l="1"/>
  <c r="K53" i="8"/>
  <c r="B53" i="6"/>
  <c r="I54" i="4"/>
  <c r="H54" i="4"/>
  <c r="A54" i="6"/>
  <c r="A55" i="8" s="1"/>
  <c r="E55" i="4"/>
  <c r="G55" i="4"/>
  <c r="B55" i="4"/>
  <c r="C55" i="4"/>
  <c r="D55" i="4"/>
  <c r="F55" i="4"/>
  <c r="B54" i="6" l="1"/>
  <c r="C53" i="6"/>
  <c r="D53" i="6" s="1"/>
  <c r="I55" i="4"/>
  <c r="H55" i="4"/>
  <c r="A55" i="6"/>
  <c r="A56" i="8" s="1"/>
  <c r="D56" i="4"/>
  <c r="C56" i="4"/>
  <c r="G56" i="4"/>
  <c r="F56" i="4"/>
  <c r="B56" i="4"/>
  <c r="E56" i="4"/>
  <c r="K54" i="8" l="1"/>
  <c r="C54" i="6"/>
  <c r="D54" i="6" s="1"/>
  <c r="B55" i="6"/>
  <c r="I56" i="4"/>
  <c r="H56" i="4"/>
  <c r="A56" i="6"/>
  <c r="A57" i="8" s="1"/>
  <c r="G57" i="4"/>
  <c r="C57" i="4"/>
  <c r="B57" i="4"/>
  <c r="E57" i="4"/>
  <c r="D57" i="4"/>
  <c r="F57" i="4"/>
  <c r="K55" i="8" l="1"/>
  <c r="C55" i="6"/>
  <c r="D55" i="6" s="1"/>
  <c r="H57" i="4"/>
  <c r="I57" i="4"/>
  <c r="A57" i="6"/>
  <c r="A58" i="8" s="1"/>
  <c r="B56" i="6"/>
  <c r="B58" i="4"/>
  <c r="D58" i="4"/>
  <c r="E58" i="4"/>
  <c r="C58" i="4"/>
  <c r="G58" i="4"/>
  <c r="F58" i="4"/>
  <c r="B57" i="6" l="1"/>
  <c r="C57" i="6" s="1"/>
  <c r="D57" i="6" s="1"/>
  <c r="K56" i="8"/>
  <c r="C56" i="6"/>
  <c r="D56" i="6" s="1"/>
  <c r="I58" i="4"/>
  <c r="H58" i="4"/>
  <c r="A58" i="6"/>
  <c r="A59" i="8" s="1"/>
  <c r="C59" i="4"/>
  <c r="F59" i="4"/>
  <c r="G59" i="4"/>
  <c r="B59" i="4"/>
  <c r="E59" i="4"/>
  <c r="D59" i="4"/>
  <c r="K58" i="8" l="1"/>
  <c r="G57" i="6"/>
  <c r="L58" i="8" s="1"/>
  <c r="K57" i="8"/>
  <c r="H59" i="4"/>
  <c r="I59" i="4"/>
  <c r="A59" i="6"/>
  <c r="A60" i="8" s="1"/>
  <c r="B58" i="6"/>
  <c r="F60" i="4"/>
  <c r="B60" i="4"/>
  <c r="D60" i="4"/>
  <c r="C60" i="4"/>
  <c r="G60" i="4"/>
  <c r="E60" i="4"/>
  <c r="B59" i="6" l="1"/>
  <c r="C59" i="6" s="1"/>
  <c r="D59" i="6" s="1"/>
  <c r="C58" i="6"/>
  <c r="D58" i="6" s="1"/>
  <c r="H60" i="4"/>
  <c r="I60" i="4"/>
  <c r="A60" i="6"/>
  <c r="A61" i="8" s="1"/>
  <c r="C61" i="4"/>
  <c r="D61" i="4"/>
  <c r="F61" i="4"/>
  <c r="G61" i="4"/>
  <c r="B61" i="4"/>
  <c r="E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G62" i="4"/>
  <c r="F62" i="4"/>
  <c r="B62" i="4"/>
  <c r="C62" i="4"/>
  <c r="E62" i="4"/>
  <c r="D62" i="4"/>
  <c r="K61" i="8" l="1"/>
  <c r="G60" i="6"/>
  <c r="L61" i="8" s="1"/>
  <c r="B61" i="6"/>
  <c r="I62" i="4"/>
  <c r="H62" i="4"/>
  <c r="A62" i="6"/>
  <c r="A63" i="8" s="1"/>
  <c r="C63" i="4"/>
  <c r="F63" i="4"/>
  <c r="D63" i="4"/>
  <c r="B63" i="4"/>
  <c r="G63" i="4"/>
  <c r="E63" i="4"/>
  <c r="C61" i="6" l="1"/>
  <c r="D61" i="6" s="1"/>
  <c r="H63" i="4"/>
  <c r="I63" i="4"/>
  <c r="A63" i="6"/>
  <c r="A64" i="8" s="1"/>
  <c r="B62" i="6"/>
  <c r="F64" i="4"/>
  <c r="D64" i="4"/>
  <c r="G64" i="4"/>
  <c r="C64" i="4"/>
  <c r="B64" i="4"/>
  <c r="E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C65" i="4"/>
  <c r="G65" i="4"/>
  <c r="B65" i="4"/>
  <c r="F65" i="4"/>
  <c r="E65" i="4"/>
  <c r="D65" i="4"/>
  <c r="K64" i="8" l="1"/>
  <c r="G63" i="6"/>
  <c r="L64" i="8" s="1"/>
  <c r="K63" i="8"/>
  <c r="G62" i="6"/>
  <c r="L63" i="8" s="1"/>
  <c r="I65" i="4"/>
  <c r="H65" i="4"/>
  <c r="A65" i="6"/>
  <c r="A66" i="8" s="1"/>
  <c r="B64" i="6"/>
  <c r="B66" i="4"/>
  <c r="E66" i="4"/>
  <c r="G66" i="4"/>
  <c r="D66" i="4"/>
  <c r="F66" i="4"/>
  <c r="C66" i="4"/>
  <c r="C64" i="6" l="1"/>
  <c r="D64" i="6" s="1"/>
  <c r="H66" i="4"/>
  <c r="I66" i="4"/>
  <c r="A66" i="6"/>
  <c r="A67" i="8" s="1"/>
  <c r="B65" i="6"/>
  <c r="C67" i="4"/>
  <c r="F67" i="4"/>
  <c r="G67" i="4"/>
  <c r="D67" i="4"/>
  <c r="E67" i="4"/>
  <c r="B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G68" i="4"/>
  <c r="F68" i="4"/>
  <c r="E68" i="4"/>
  <c r="C68" i="4"/>
  <c r="D68" i="4"/>
  <c r="B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B69" i="4"/>
  <c r="D69" i="4"/>
  <c r="G69" i="4"/>
  <c r="C69" i="4"/>
  <c r="E69" i="4"/>
  <c r="F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D70" i="4"/>
  <c r="G70" i="4"/>
  <c r="C70" i="4"/>
  <c r="B70" i="4"/>
  <c r="E70" i="4"/>
  <c r="F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C71" i="4"/>
  <c r="B71" i="4"/>
  <c r="D71" i="4"/>
  <c r="G71" i="4"/>
  <c r="E71" i="4"/>
  <c r="F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G72" i="4"/>
  <c r="C72" i="4"/>
  <c r="D72" i="4"/>
  <c r="F72" i="4"/>
  <c r="B72" i="4"/>
  <c r="E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C73" i="4"/>
  <c r="F73" i="4"/>
  <c r="G73" i="4"/>
  <c r="E73" i="4"/>
  <c r="D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B74" i="4"/>
  <c r="F74" i="4"/>
  <c r="C74" i="4"/>
  <c r="E74" i="4"/>
  <c r="D74" i="4"/>
  <c r="G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E75" i="4"/>
  <c r="B75" i="4"/>
  <c r="C75" i="4"/>
  <c r="D75" i="4"/>
  <c r="F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E76" i="4"/>
  <c r="G76" i="4"/>
  <c r="D76" i="4"/>
  <c r="C76" i="4"/>
  <c r="B76" i="4"/>
  <c r="F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C77" i="4"/>
  <c r="G77" i="4"/>
  <c r="E77" i="4"/>
  <c r="B77" i="4"/>
  <c r="D77" i="4"/>
  <c r="F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E78" i="4"/>
  <c r="F78" i="4"/>
  <c r="B78" i="4"/>
  <c r="D78" i="4"/>
  <c r="C78" i="4"/>
  <c r="G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E79" i="4"/>
  <c r="C79" i="4"/>
  <c r="D79" i="4"/>
  <c r="G79" i="4"/>
  <c r="B79" i="4"/>
  <c r="F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G80" i="4"/>
  <c r="C80" i="4"/>
  <c r="B80" i="4"/>
  <c r="F80" i="4"/>
  <c r="D80" i="4"/>
  <c r="E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G81" i="4"/>
  <c r="B81" i="4"/>
  <c r="C81" i="4"/>
  <c r="D81" i="4"/>
  <c r="E81" i="4"/>
  <c r="F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G82" i="4"/>
  <c r="E82" i="4"/>
  <c r="F82" i="4"/>
  <c r="D82" i="4"/>
  <c r="B82" i="4"/>
  <c r="C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E83" i="4"/>
  <c r="C83" i="4"/>
  <c r="D83" i="4"/>
  <c r="F83" i="4"/>
  <c r="B83" i="4"/>
  <c r="G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C84" i="4"/>
  <c r="B84" i="4"/>
  <c r="E84" i="4"/>
  <c r="F84" i="4"/>
  <c r="G84" i="4"/>
  <c r="D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G85" i="4"/>
  <c r="C85" i="4"/>
  <c r="E85" i="4"/>
  <c r="F85" i="4"/>
  <c r="B85" i="4"/>
  <c r="D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E86" i="4"/>
  <c r="C86" i="4"/>
  <c r="D86" i="4"/>
  <c r="G86" i="4"/>
  <c r="F86" i="4"/>
  <c r="B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C87" i="4"/>
  <c r="E87" i="4"/>
  <c r="D87" i="4"/>
  <c r="B87" i="4"/>
  <c r="G87" i="4"/>
  <c r="F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B88" i="4"/>
  <c r="G88" i="4"/>
  <c r="D88" i="4"/>
  <c r="C88" i="4"/>
  <c r="E88" i="4"/>
  <c r="F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C89" i="4"/>
  <c r="D89" i="4"/>
  <c r="F89" i="4"/>
  <c r="E89" i="4"/>
  <c r="G89" i="4"/>
  <c r="B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C90" i="4"/>
  <c r="D90" i="4"/>
  <c r="E90" i="4"/>
  <c r="G90" i="4"/>
  <c r="F90" i="4"/>
  <c r="B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C91" i="4"/>
  <c r="E91" i="4"/>
  <c r="F91" i="4"/>
  <c r="D91" i="4"/>
  <c r="G91" i="4"/>
  <c r="B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E92" i="4"/>
  <c r="D92" i="4"/>
  <c r="F92" i="4"/>
  <c r="C92" i="4"/>
  <c r="G92" i="4"/>
  <c r="B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C93" i="4"/>
  <c r="D93" i="4"/>
  <c r="B93" i="4"/>
  <c r="E93" i="4"/>
  <c r="G93" i="4"/>
  <c r="F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D94" i="4"/>
  <c r="E94" i="4"/>
  <c r="G94" i="4"/>
  <c r="C94" i="4"/>
  <c r="F94" i="4"/>
  <c r="B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B95" i="4"/>
  <c r="C95" i="4"/>
  <c r="D95" i="4"/>
  <c r="G95" i="4"/>
  <c r="E95" i="4"/>
  <c r="F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G96" i="4"/>
  <c r="D96" i="4"/>
  <c r="F96" i="4"/>
  <c r="B96" i="4"/>
  <c r="C96" i="4"/>
  <c r="E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E97" i="4"/>
  <c r="B97" i="4"/>
  <c r="F97" i="4"/>
  <c r="G97" i="4"/>
  <c r="C97" i="4"/>
  <c r="D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B98" i="4"/>
  <c r="D98" i="4"/>
  <c r="G98" i="4"/>
  <c r="C98" i="4"/>
  <c r="E98" i="4"/>
  <c r="F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D99" i="4"/>
  <c r="G99" i="4"/>
  <c r="C99" i="4"/>
  <c r="B99" i="4"/>
  <c r="F99" i="4"/>
  <c r="E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G100" i="4"/>
  <c r="E100" i="4"/>
  <c r="D100" i="4"/>
  <c r="B100" i="4"/>
  <c r="F100" i="4"/>
  <c r="C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B101" i="4"/>
  <c r="D101" i="4"/>
  <c r="E101" i="4"/>
  <c r="G101" i="4"/>
  <c r="F101" i="4"/>
  <c r="C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E102" i="4"/>
  <c r="D102" i="4"/>
  <c r="G102" i="4"/>
  <c r="C102" i="4"/>
  <c r="F102" i="4"/>
  <c r="B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C103" i="4"/>
  <c r="B103" i="4"/>
  <c r="E103" i="4"/>
  <c r="D103" i="4"/>
  <c r="F103" i="4"/>
  <c r="G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F104" i="4"/>
  <c r="D104" i="4"/>
  <c r="B104" i="4"/>
  <c r="C104" i="4"/>
  <c r="E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C105" i="4"/>
  <c r="F105" i="4"/>
  <c r="B105" i="4"/>
  <c r="E105" i="4"/>
  <c r="G105" i="4"/>
  <c r="D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F106" i="4"/>
  <c r="C106" i="4"/>
  <c r="G106" i="4"/>
  <c r="B106" i="4"/>
  <c r="E106" i="4"/>
  <c r="D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F107" i="4"/>
  <c r="D107" i="4"/>
  <c r="C107" i="4"/>
  <c r="G107" i="4"/>
  <c r="B107" i="4"/>
  <c r="E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F108" i="4"/>
  <c r="D108" i="4"/>
  <c r="C108" i="4"/>
  <c r="E108" i="4"/>
  <c r="B108" i="4"/>
  <c r="G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F109" i="4"/>
  <c r="E109" i="4"/>
  <c r="G109" i="4"/>
  <c r="C109" i="4"/>
  <c r="D109" i="4"/>
  <c r="B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F110" i="4"/>
  <c r="E110" i="4"/>
  <c r="B110" i="4"/>
  <c r="G110" i="4"/>
  <c r="C110" i="4"/>
  <c r="D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E111" i="4"/>
  <c r="D111" i="4"/>
  <c r="B111" i="4"/>
  <c r="F111" i="4"/>
  <c r="C111" i="4"/>
  <c r="G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B112" i="4"/>
  <c r="C112" i="4"/>
  <c r="D112" i="4"/>
  <c r="F112" i="4"/>
  <c r="G112" i="4"/>
  <c r="E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B113" i="4"/>
  <c r="E113" i="4"/>
  <c r="D113" i="4"/>
  <c r="C113" i="4"/>
  <c r="G113" i="4"/>
  <c r="F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G114" i="4"/>
  <c r="F114" i="4"/>
  <c r="C114" i="4"/>
  <c r="E114" i="4"/>
  <c r="D114" i="4"/>
  <c r="B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C115" i="4"/>
  <c r="E115" i="4"/>
  <c r="F115" i="4"/>
  <c r="D115" i="4"/>
  <c r="G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D116" i="4"/>
  <c r="B116" i="4"/>
  <c r="E116" i="4"/>
  <c r="G116" i="4"/>
  <c r="F116" i="4"/>
  <c r="C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G117" i="4"/>
  <c r="D117" i="4"/>
  <c r="E117" i="4"/>
  <c r="F117" i="4"/>
  <c r="B117" i="4"/>
  <c r="C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E118" i="4"/>
  <c r="C118" i="4"/>
  <c r="G118" i="4"/>
  <c r="D118" i="4"/>
  <c r="B118" i="4"/>
  <c r="F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G119" i="4"/>
  <c r="B119" i="4"/>
  <c r="F119" i="4"/>
  <c r="C119" i="4"/>
  <c r="E119" i="4"/>
  <c r="D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D120" i="4"/>
  <c r="C120" i="4"/>
  <c r="B120" i="4"/>
  <c r="G120" i="4"/>
  <c r="F120" i="4"/>
  <c r="E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B121" i="4"/>
  <c r="G121" i="4"/>
  <c r="E121" i="4"/>
  <c r="D121" i="4"/>
  <c r="C121" i="4"/>
  <c r="F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G122" i="4"/>
  <c r="E122" i="4"/>
  <c r="F122" i="4"/>
  <c r="D122" i="4"/>
  <c r="C122" i="4"/>
  <c r="B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D123" i="4"/>
  <c r="C123" i="4"/>
  <c r="F123" i="4"/>
  <c r="E123" i="4"/>
  <c r="B123" i="4"/>
  <c r="G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F124" i="4"/>
  <c r="D124" i="4"/>
  <c r="C124" i="4"/>
  <c r="B124" i="4"/>
  <c r="G124" i="4"/>
  <c r="E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C125" i="4"/>
  <c r="G125" i="4"/>
  <c r="E125" i="4"/>
  <c r="F125" i="4"/>
  <c r="B125" i="4"/>
  <c r="D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E126" i="4"/>
  <c r="F126" i="4"/>
  <c r="B126" i="4"/>
  <c r="D126" i="4"/>
  <c r="C126" i="4"/>
  <c r="G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B127" i="4"/>
  <c r="G127" i="4"/>
  <c r="D127" i="4"/>
  <c r="E127" i="4"/>
  <c r="F127" i="4"/>
  <c r="C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G128" i="4"/>
  <c r="C128" i="4"/>
  <c r="F128" i="4"/>
  <c r="E128" i="4"/>
  <c r="B128" i="4"/>
  <c r="D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G129" i="4"/>
  <c r="E129" i="4"/>
  <c r="F129" i="4"/>
  <c r="C129" i="4"/>
  <c r="B129" i="4"/>
  <c r="D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G130" i="4"/>
  <c r="F130" i="4"/>
  <c r="C130" i="4"/>
  <c r="D130" i="4"/>
  <c r="E130" i="4"/>
  <c r="B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E131" i="4"/>
  <c r="G131" i="4"/>
  <c r="F131" i="4"/>
  <c r="B131" i="4"/>
  <c r="C131" i="4"/>
  <c r="D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F132" i="4"/>
  <c r="E132" i="4"/>
  <c r="D132" i="4"/>
  <c r="B132" i="4"/>
  <c r="G132" i="4"/>
  <c r="C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G133" i="4"/>
  <c r="F133" i="4"/>
  <c r="D133" i="4"/>
  <c r="C133" i="4"/>
  <c r="B133" i="4"/>
  <c r="E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B134" i="4"/>
  <c r="D134" i="4"/>
  <c r="E134" i="4"/>
  <c r="G134" i="4"/>
  <c r="F134" i="4"/>
  <c r="C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E135" i="4"/>
  <c r="B135" i="4"/>
  <c r="D135" i="4"/>
  <c r="C135" i="4"/>
  <c r="G135" i="4"/>
  <c r="F135" i="4"/>
  <c r="B134" i="6" l="1"/>
  <c r="C134" i="6" s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H135" i="4"/>
  <c r="I135" i="4"/>
  <c r="A135" i="6"/>
  <c r="A136" i="8" s="1"/>
  <c r="E136" i="4"/>
  <c r="G136" i="4"/>
  <c r="B136" i="4"/>
  <c r="C136" i="4"/>
  <c r="F136" i="4"/>
  <c r="D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F137" i="4"/>
  <c r="G137" i="4"/>
  <c r="D137" i="4"/>
  <c r="E137" i="4"/>
  <c r="B137" i="4"/>
  <c r="C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G138" i="4"/>
  <c r="E138" i="4"/>
  <c r="B138" i="4"/>
  <c r="C138" i="4"/>
  <c r="D138" i="4"/>
  <c r="F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B139" i="4"/>
  <c r="C139" i="4"/>
  <c r="E139" i="4"/>
  <c r="D139" i="4"/>
  <c r="F139" i="4"/>
  <c r="G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E140" i="4"/>
  <c r="B140" i="4"/>
  <c r="G140" i="4"/>
  <c r="C140" i="4"/>
  <c r="D140" i="4"/>
  <c r="F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E141" i="4"/>
  <c r="D141" i="4"/>
  <c r="G141" i="4"/>
  <c r="F141" i="4"/>
  <c r="B141" i="4"/>
  <c r="C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G142" i="4"/>
  <c r="C142" i="4"/>
  <c r="D142" i="4"/>
  <c r="E142" i="4"/>
  <c r="B142" i="4"/>
  <c r="F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C143" i="4"/>
  <c r="G143" i="4"/>
  <c r="D143" i="4"/>
  <c r="F143" i="4"/>
  <c r="E143" i="4"/>
  <c r="B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D144" i="4"/>
  <c r="B144" i="4"/>
  <c r="E144" i="4"/>
  <c r="F144" i="4"/>
  <c r="G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F145" i="4"/>
  <c r="G145" i="4"/>
  <c r="E145" i="4"/>
  <c r="D145" i="4"/>
  <c r="B145" i="4"/>
  <c r="C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E146" i="4"/>
  <c r="D146" i="4"/>
  <c r="B146" i="4"/>
  <c r="F146" i="4"/>
  <c r="G146" i="4"/>
  <c r="C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E147" i="4"/>
  <c r="B147" i="4"/>
  <c r="F147" i="4"/>
  <c r="G147" i="4"/>
  <c r="D147" i="4"/>
  <c r="C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C148" i="4"/>
  <c r="B148" i="4"/>
  <c r="D148" i="4"/>
  <c r="G148" i="4"/>
  <c r="E148" i="4"/>
  <c r="F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B149" i="4"/>
  <c r="E149" i="4"/>
  <c r="G149" i="4"/>
  <c r="C149" i="4"/>
  <c r="F149" i="4"/>
  <c r="D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F150" i="4"/>
  <c r="D150" i="4"/>
  <c r="G150" i="4"/>
  <c r="B150" i="4"/>
  <c r="E150" i="4"/>
  <c r="C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F151" i="4"/>
  <c r="G151" i="4"/>
  <c r="B151" i="4"/>
  <c r="E151" i="4"/>
  <c r="C151" i="4"/>
  <c r="D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F152" i="4"/>
  <c r="G152" i="4"/>
  <c r="B152" i="4"/>
  <c r="C152" i="4"/>
  <c r="E152" i="4"/>
  <c r="D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F153" i="4"/>
  <c r="E153" i="4"/>
  <c r="C153" i="4"/>
  <c r="D153" i="4"/>
  <c r="B153" i="4"/>
  <c r="G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B154" i="4"/>
  <c r="D154" i="4"/>
  <c r="G154" i="4"/>
  <c r="E154" i="4"/>
  <c r="F154" i="4"/>
  <c r="C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B155" i="4"/>
  <c r="E155" i="4"/>
  <c r="C155" i="4"/>
  <c r="D155" i="4"/>
  <c r="G155" i="4"/>
  <c r="F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F156" i="4"/>
  <c r="B156" i="4"/>
  <c r="E156" i="4"/>
  <c r="D156" i="4"/>
  <c r="G156" i="4"/>
  <c r="C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B157" i="4"/>
  <c r="G157" i="4"/>
  <c r="E157" i="4"/>
  <c r="F157" i="4"/>
  <c r="D157" i="4"/>
  <c r="C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B158" i="4"/>
  <c r="D158" i="4"/>
  <c r="C158" i="4"/>
  <c r="E158" i="4"/>
  <c r="F158" i="4"/>
  <c r="G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F159" i="4"/>
  <c r="D159" i="4"/>
  <c r="B159" i="4"/>
  <c r="C159" i="4"/>
  <c r="G159" i="4"/>
  <c r="E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E160" i="4"/>
  <c r="G160" i="4"/>
  <c r="C160" i="4"/>
  <c r="D160" i="4"/>
  <c r="B160" i="4"/>
  <c r="F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F161" i="4"/>
  <c r="E161" i="4"/>
  <c r="C161" i="4"/>
  <c r="G161" i="4"/>
  <c r="D161" i="4"/>
  <c r="B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C162" i="4"/>
  <c r="G162" i="4"/>
  <c r="D162" i="4"/>
  <c r="E162" i="4"/>
  <c r="F162" i="4"/>
  <c r="B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G163" i="4"/>
  <c r="E163" i="4"/>
  <c r="F163" i="4"/>
  <c r="D163" i="4"/>
  <c r="C163" i="4"/>
  <c r="B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H163" i="4"/>
  <c r="I163" i="4"/>
  <c r="A163" i="6"/>
  <c r="A164" i="8" s="1"/>
  <c r="E164" i="4"/>
  <c r="B164" i="4"/>
  <c r="G164" i="4"/>
  <c r="D164" i="4"/>
  <c r="C164" i="4"/>
  <c r="F164" i="4"/>
  <c r="D162" i="6" l="1"/>
  <c r="K163" i="8" s="1"/>
  <c r="B163" i="6"/>
  <c r="C163" i="6" s="1"/>
  <c r="D163" i="6" s="1"/>
  <c r="H161" i="6"/>
  <c r="B162" i="8" s="1"/>
  <c r="F160" i="8"/>
  <c r="E160" i="8"/>
  <c r="G160" i="8" s="1"/>
  <c r="H160" i="6"/>
  <c r="B161" i="8" s="1"/>
  <c r="H164" i="4"/>
  <c r="I164" i="4"/>
  <c r="A164" i="6"/>
  <c r="A165" i="8" s="1"/>
  <c r="E165" i="4"/>
  <c r="C165" i="4"/>
  <c r="F165" i="4"/>
  <c r="D165" i="4"/>
  <c r="G165" i="4"/>
  <c r="B165" i="4"/>
  <c r="E162" i="6" l="1"/>
  <c r="F162" i="6" s="1"/>
  <c r="D163" i="8" s="1"/>
  <c r="G162" i="6"/>
  <c r="L163" i="8" s="1"/>
  <c r="B164" i="6"/>
  <c r="C164" i="6" s="1"/>
  <c r="D164" i="6" s="1"/>
  <c r="K164" i="8"/>
  <c r="G163" i="6"/>
  <c r="L164" i="8" s="1"/>
  <c r="E163" i="6"/>
  <c r="F163" i="6" s="1"/>
  <c r="D164" i="8" s="1"/>
  <c r="F161" i="8"/>
  <c r="E161" i="8"/>
  <c r="G161" i="8" s="1"/>
  <c r="F162" i="8"/>
  <c r="E162" i="8"/>
  <c r="G162" i="8" s="1"/>
  <c r="I165" i="4"/>
  <c r="H165" i="4"/>
  <c r="A165" i="6"/>
  <c r="A166" i="8" s="1"/>
  <c r="F166" i="4"/>
  <c r="C166" i="4"/>
  <c r="D166" i="4"/>
  <c r="B166" i="4"/>
  <c r="E166" i="4"/>
  <c r="G166" i="4"/>
  <c r="H162" i="6" l="1"/>
  <c r="B163" i="8" s="1"/>
  <c r="F163" i="8" s="1"/>
  <c r="H163" i="6"/>
  <c r="B164" i="8" s="1"/>
  <c r="E164" i="8" s="1"/>
  <c r="G164" i="8" s="1"/>
  <c r="K165" i="8"/>
  <c r="G164" i="6"/>
  <c r="L165" i="8" s="1"/>
  <c r="E164" i="6"/>
  <c r="F164" i="6" s="1"/>
  <c r="D165" i="8" s="1"/>
  <c r="H166" i="4"/>
  <c r="I166" i="4"/>
  <c r="A166" i="6"/>
  <c r="A167" i="8" s="1"/>
  <c r="B165" i="6"/>
  <c r="G167" i="4"/>
  <c r="C167" i="4"/>
  <c r="E167" i="4"/>
  <c r="B167" i="4"/>
  <c r="D167" i="4"/>
  <c r="F167" i="4"/>
  <c r="E163" i="8" l="1"/>
  <c r="G163" i="8" s="1"/>
  <c r="F164" i="8"/>
  <c r="B166" i="6"/>
  <c r="C165" i="6"/>
  <c r="D165" i="6" s="1"/>
  <c r="H164" i="6"/>
  <c r="B165" i="8" s="1"/>
  <c r="I167" i="4"/>
  <c r="H167" i="4"/>
  <c r="A167" i="6"/>
  <c r="A168" i="8" s="1"/>
  <c r="C168" i="4"/>
  <c r="G168" i="4"/>
  <c r="F168" i="4"/>
  <c r="D168" i="4"/>
  <c r="E168" i="4"/>
  <c r="B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G169" i="4"/>
  <c r="D169" i="4"/>
  <c r="E169" i="4"/>
  <c r="C169" i="4"/>
  <c r="F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G170" i="4"/>
  <c r="F170" i="4"/>
  <c r="B170" i="4"/>
  <c r="D170" i="4"/>
  <c r="E170" i="4"/>
  <c r="C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C171" i="4"/>
  <c r="E171" i="4"/>
  <c r="G171" i="4"/>
  <c r="B171" i="4"/>
  <c r="F171" i="4"/>
  <c r="D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G172" i="4"/>
  <c r="F172" i="4"/>
  <c r="B172" i="4"/>
  <c r="E172" i="4"/>
  <c r="D172" i="4"/>
  <c r="C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C173" i="4"/>
  <c r="F173" i="4"/>
  <c r="G173" i="4"/>
  <c r="E173" i="4"/>
  <c r="B173" i="4"/>
  <c r="D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E174" i="4"/>
  <c r="D174" i="4"/>
  <c r="C174" i="4"/>
  <c r="G174" i="4"/>
  <c r="F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B175" i="4"/>
  <c r="F175" i="4"/>
  <c r="C175" i="4"/>
  <c r="D175" i="4"/>
  <c r="E175" i="4"/>
  <c r="G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C176" i="4"/>
  <c r="B176" i="4"/>
  <c r="D176" i="4"/>
  <c r="E176" i="4"/>
  <c r="G176" i="4"/>
  <c r="F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B177" i="4"/>
  <c r="D177" i="4"/>
  <c r="C177" i="4"/>
  <c r="G177" i="4"/>
  <c r="E177" i="4"/>
  <c r="F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G178" i="4"/>
  <c r="B178" i="4"/>
  <c r="F178" i="4"/>
  <c r="E178" i="4"/>
  <c r="D178" i="4"/>
  <c r="C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E179" i="4"/>
  <c r="F179" i="4"/>
  <c r="B179" i="4"/>
  <c r="G179" i="4"/>
  <c r="C179" i="4"/>
  <c r="D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C180" i="4"/>
  <c r="E180" i="4"/>
  <c r="F180" i="4"/>
  <c r="B180" i="4"/>
  <c r="G180" i="4"/>
  <c r="D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B181" i="4"/>
  <c r="F181" i="4"/>
  <c r="G181" i="4"/>
  <c r="E181" i="4"/>
  <c r="D181" i="4"/>
  <c r="C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G182" i="4"/>
  <c r="B182" i="4"/>
  <c r="E182" i="4"/>
  <c r="C182" i="4"/>
  <c r="D182" i="4"/>
  <c r="F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C183" i="4"/>
  <c r="G183" i="4"/>
  <c r="F183" i="4"/>
  <c r="B183" i="4"/>
  <c r="E183" i="4"/>
  <c r="D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D184" i="4"/>
  <c r="F184" i="4"/>
  <c r="C184" i="4"/>
  <c r="G184" i="4"/>
  <c r="B184" i="4"/>
  <c r="E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F185" i="4"/>
  <c r="D185" i="4"/>
  <c r="G185" i="4"/>
  <c r="E185" i="4"/>
  <c r="B185" i="4"/>
  <c r="C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G186" i="4"/>
  <c r="D186" i="4"/>
  <c r="C186" i="4"/>
  <c r="F186" i="4"/>
  <c r="E186" i="4"/>
  <c r="B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C187" i="4"/>
  <c r="D187" i="4"/>
  <c r="G187" i="4"/>
  <c r="F187" i="4"/>
  <c r="E187" i="4"/>
  <c r="B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F188" i="4"/>
  <c r="B188" i="4"/>
  <c r="D188" i="4"/>
  <c r="C188" i="4"/>
  <c r="E188" i="4"/>
  <c r="G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D189" i="4"/>
  <c r="B189" i="4"/>
  <c r="F189" i="4"/>
  <c r="C189" i="4"/>
  <c r="E189" i="4"/>
  <c r="G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G190" i="4"/>
  <c r="D190" i="4"/>
  <c r="F190" i="4"/>
  <c r="C190" i="4"/>
  <c r="B190" i="4"/>
  <c r="E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G191" i="4"/>
  <c r="B191" i="4"/>
  <c r="D191" i="4"/>
  <c r="C191" i="4"/>
  <c r="F191" i="4"/>
  <c r="E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C192" i="4"/>
  <c r="D192" i="4"/>
  <c r="G192" i="4"/>
  <c r="B192" i="4"/>
  <c r="E192" i="4"/>
  <c r="F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F193" i="4"/>
  <c r="B193" i="4"/>
  <c r="D193" i="4"/>
  <c r="E193" i="4"/>
  <c r="C193" i="4"/>
  <c r="G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D194" i="4"/>
  <c r="G194" i="4"/>
  <c r="E194" i="4"/>
  <c r="F194" i="4"/>
  <c r="C194" i="4"/>
  <c r="B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F195" i="4"/>
  <c r="D195" i="4"/>
  <c r="B195" i="4"/>
  <c r="E195" i="4"/>
  <c r="G195" i="4"/>
  <c r="C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E196" i="4"/>
  <c r="G196" i="4"/>
  <c r="B196" i="4"/>
  <c r="D196" i="4"/>
  <c r="F196" i="4"/>
  <c r="C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E197" i="4"/>
  <c r="C197" i="4"/>
  <c r="D197" i="4"/>
  <c r="F197" i="4"/>
  <c r="B197" i="4"/>
  <c r="G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B198" i="4"/>
  <c r="F198" i="4"/>
  <c r="G198" i="4"/>
  <c r="D198" i="4"/>
  <c r="E198" i="4"/>
  <c r="C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E199" i="4"/>
  <c r="G199" i="4"/>
  <c r="F199" i="4"/>
  <c r="D199" i="4"/>
  <c r="C199" i="4"/>
  <c r="B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D200" i="4"/>
  <c r="C200" i="4"/>
  <c r="E200" i="4"/>
  <c r="F200" i="4"/>
  <c r="G200" i="4"/>
  <c r="B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B201" i="4"/>
  <c r="F201" i="4"/>
  <c r="D201" i="4"/>
  <c r="C201" i="4"/>
  <c r="G201" i="4"/>
  <c r="E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E202" i="4"/>
  <c r="B202" i="4"/>
  <c r="D202" i="4"/>
  <c r="F202" i="4"/>
  <c r="C202" i="4"/>
  <c r="G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E203" i="4"/>
  <c r="F203" i="4"/>
  <c r="C203" i="4"/>
  <c r="D203" i="4"/>
  <c r="B203" i="4"/>
  <c r="G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B204" i="4"/>
  <c r="E204" i="4"/>
  <c r="F204" i="4"/>
  <c r="G204" i="4"/>
  <c r="D204" i="4"/>
  <c r="C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C205" i="4"/>
  <c r="B205" i="4"/>
  <c r="F205" i="4"/>
  <c r="D205" i="4"/>
  <c r="E205" i="4"/>
  <c r="G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E206" i="4"/>
  <c r="F206" i="4"/>
  <c r="B206" i="4"/>
  <c r="D206" i="4"/>
  <c r="G206" i="4"/>
  <c r="C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C207" i="4"/>
  <c r="B207" i="4"/>
  <c r="F207" i="4"/>
  <c r="G207" i="4"/>
  <c r="E207" i="4"/>
  <c r="D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D208" i="4"/>
  <c r="E208" i="4"/>
  <c r="B208" i="4"/>
  <c r="F208" i="4"/>
  <c r="C208" i="4"/>
  <c r="G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D209" i="4"/>
  <c r="E209" i="4"/>
  <c r="F209" i="4"/>
  <c r="C209" i="4"/>
  <c r="G209" i="4"/>
  <c r="B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F210" i="4"/>
  <c r="C210" i="4"/>
  <c r="B210" i="4"/>
  <c r="D210" i="4"/>
  <c r="E210" i="4"/>
  <c r="G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D211" i="4"/>
  <c r="B211" i="4"/>
  <c r="F211" i="4"/>
  <c r="E211" i="4"/>
  <c r="C211" i="4"/>
  <c r="G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E212" i="4"/>
  <c r="F212" i="4"/>
  <c r="D212" i="4"/>
  <c r="B212" i="4"/>
  <c r="C212" i="4"/>
  <c r="G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D213" i="4"/>
  <c r="G213" i="4"/>
  <c r="F213" i="4"/>
  <c r="B213" i="4"/>
  <c r="C213" i="4"/>
  <c r="E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C214" i="4"/>
  <c r="G214" i="4"/>
  <c r="E214" i="4"/>
  <c r="B214" i="4"/>
  <c r="F214" i="4"/>
  <c r="D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G215" i="4"/>
  <c r="C215" i="4"/>
  <c r="E215" i="4"/>
  <c r="B215" i="4"/>
  <c r="D215" i="4"/>
  <c r="F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E216" i="4"/>
  <c r="C216" i="4"/>
  <c r="G216" i="4"/>
  <c r="D216" i="4"/>
  <c r="F216" i="4"/>
  <c r="B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C217" i="4"/>
  <c r="E217" i="4"/>
  <c r="G217" i="4"/>
  <c r="D217" i="4"/>
  <c r="B217" i="4"/>
  <c r="F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G218" i="4"/>
  <c r="B218" i="4"/>
  <c r="F218" i="4"/>
  <c r="C218" i="4"/>
  <c r="D218" i="4"/>
  <c r="E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G219" i="4"/>
  <c r="F219" i="4"/>
  <c r="E219" i="4"/>
  <c r="D219" i="4"/>
  <c r="C219" i="4"/>
  <c r="B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C220" i="4"/>
  <c r="B220" i="4"/>
  <c r="G220" i="4"/>
  <c r="D220" i="4"/>
  <c r="E220" i="4"/>
  <c r="F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B221" i="4"/>
  <c r="E221" i="4"/>
  <c r="F221" i="4"/>
  <c r="G221" i="4"/>
  <c r="C221" i="4"/>
  <c r="D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D222" i="4"/>
  <c r="E222" i="4"/>
  <c r="C222" i="4"/>
  <c r="F222" i="4"/>
  <c r="B222" i="4"/>
  <c r="G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G223" i="4"/>
  <c r="B223" i="4"/>
  <c r="F223" i="4"/>
  <c r="E223" i="4"/>
  <c r="D223" i="4"/>
  <c r="C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D224" i="4"/>
  <c r="C224" i="4"/>
  <c r="F224" i="4"/>
  <c r="G224" i="4"/>
  <c r="E224" i="4"/>
  <c r="B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E225" i="4"/>
  <c r="F225" i="4"/>
  <c r="D225" i="4"/>
  <c r="G225" i="4"/>
  <c r="B225" i="4"/>
  <c r="C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B226" i="4"/>
  <c r="D226" i="4"/>
  <c r="C226" i="4"/>
  <c r="E226" i="4"/>
  <c r="G226" i="4"/>
  <c r="F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C227" i="4"/>
  <c r="F227" i="4"/>
  <c r="D227" i="4"/>
  <c r="B227" i="4"/>
  <c r="E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G228" i="4"/>
  <c r="F228" i="4"/>
  <c r="D228" i="4"/>
  <c r="C228" i="4"/>
  <c r="B228" i="4"/>
  <c r="E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B229" i="4"/>
  <c r="G229" i="4"/>
  <c r="E229" i="4"/>
  <c r="F229" i="4"/>
  <c r="D229" i="4"/>
  <c r="C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D230" i="4"/>
  <c r="F230" i="4"/>
  <c r="G230" i="4"/>
  <c r="B230" i="4"/>
  <c r="C230" i="4"/>
  <c r="E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E231" i="4"/>
  <c r="F231" i="4"/>
  <c r="B231" i="4"/>
  <c r="C231" i="4"/>
  <c r="D231" i="4"/>
  <c r="G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D232" i="4"/>
  <c r="G232" i="4"/>
  <c r="C232" i="4"/>
  <c r="E232" i="4"/>
  <c r="F232" i="4"/>
  <c r="B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B233" i="4"/>
  <c r="C233" i="4"/>
  <c r="F233" i="4"/>
  <c r="E233" i="4"/>
  <c r="G233" i="4"/>
  <c r="D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C234" i="4"/>
  <c r="F234" i="4"/>
  <c r="B234" i="4"/>
  <c r="D234" i="4"/>
  <c r="E234" i="4"/>
  <c r="G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B235" i="4"/>
  <c r="E235" i="4"/>
  <c r="C235" i="4"/>
  <c r="F235" i="4"/>
  <c r="G235" i="4"/>
  <c r="D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E236" i="4"/>
  <c r="B236" i="4"/>
  <c r="C236" i="4"/>
  <c r="D236" i="4"/>
  <c r="F236" i="4"/>
  <c r="G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C237" i="4"/>
  <c r="D237" i="4"/>
  <c r="G237" i="4"/>
  <c r="E237" i="4"/>
  <c r="F237" i="4"/>
  <c r="B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D238" i="4"/>
  <c r="B238" i="4"/>
  <c r="G238" i="4"/>
  <c r="E238" i="4"/>
  <c r="F238" i="4"/>
  <c r="C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D239" i="4"/>
  <c r="C239" i="4"/>
  <c r="E239" i="4"/>
  <c r="G239" i="4"/>
  <c r="B239" i="4"/>
  <c r="F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F240" i="4"/>
  <c r="C240" i="4"/>
  <c r="E240" i="4"/>
  <c r="G240" i="4"/>
  <c r="D240" i="4"/>
  <c r="B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F241" i="4"/>
  <c r="E241" i="4"/>
  <c r="D241" i="4"/>
  <c r="G241" i="4"/>
  <c r="C241" i="4"/>
  <c r="B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G242" i="4"/>
  <c r="D242" i="4"/>
  <c r="E242" i="4"/>
  <c r="F242" i="4"/>
  <c r="C242" i="4"/>
  <c r="B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F243" i="4"/>
  <c r="B243" i="4"/>
  <c r="C243" i="4"/>
  <c r="D243" i="4"/>
  <c r="E243" i="4"/>
  <c r="G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E244" i="4"/>
  <c r="C244" i="4"/>
  <c r="G244" i="4"/>
  <c r="D244" i="4"/>
  <c r="F244" i="4"/>
  <c r="B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F245" i="4"/>
  <c r="G245" i="4"/>
  <c r="B245" i="4"/>
  <c r="C245" i="4"/>
  <c r="E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C246" i="4"/>
  <c r="E246" i="4"/>
  <c r="F246" i="4"/>
  <c r="D246" i="4"/>
  <c r="B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E247" i="4"/>
  <c r="B247" i="4"/>
  <c r="F247" i="4"/>
  <c r="G247" i="4"/>
  <c r="D247" i="4"/>
  <c r="C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B248" i="4"/>
  <c r="C248" i="4"/>
  <c r="D248" i="4"/>
  <c r="F248" i="4"/>
  <c r="E248" i="4"/>
  <c r="G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C249" i="4"/>
  <c r="B249" i="4"/>
  <c r="G249" i="4"/>
  <c r="F249" i="4"/>
  <c r="D249" i="4"/>
  <c r="E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B250" i="4"/>
  <c r="E250" i="4"/>
  <c r="G250" i="4"/>
  <c r="C250" i="4"/>
  <c r="D250" i="4"/>
  <c r="F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D251" i="4"/>
  <c r="B251" i="4"/>
  <c r="F251" i="4"/>
  <c r="C251" i="4"/>
  <c r="G251" i="4"/>
  <c r="E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B252" i="4"/>
  <c r="E252" i="4"/>
  <c r="F252" i="4"/>
  <c r="G252" i="4"/>
  <c r="D252" i="4"/>
  <c r="C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E253" i="4"/>
  <c r="B253" i="4"/>
  <c r="F253" i="4"/>
  <c r="C253" i="4"/>
  <c r="G253" i="4"/>
  <c r="D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C254" i="4"/>
  <c r="D254" i="4"/>
  <c r="G254" i="4"/>
  <c r="F254" i="4"/>
  <c r="B254" i="4"/>
  <c r="E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D255" i="4"/>
  <c r="F255" i="4"/>
  <c r="C255" i="4"/>
  <c r="E255" i="4"/>
  <c r="B255" i="4"/>
  <c r="G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C256" i="4"/>
  <c r="F256" i="4"/>
  <c r="E256" i="4"/>
  <c r="D256" i="4"/>
  <c r="G256" i="4"/>
  <c r="B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D257" i="4"/>
  <c r="E257" i="4"/>
  <c r="B257" i="4"/>
  <c r="F257" i="4"/>
  <c r="C257" i="4"/>
  <c r="G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B258" i="4"/>
  <c r="E258" i="4"/>
  <c r="C258" i="4"/>
  <c r="F258" i="4"/>
  <c r="D258" i="4"/>
  <c r="G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B259" i="4"/>
  <c r="D259" i="4"/>
  <c r="C259" i="4"/>
  <c r="G259" i="4"/>
  <c r="F259" i="4"/>
  <c r="E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F260" i="4"/>
  <c r="B260" i="4"/>
  <c r="G260" i="4"/>
  <c r="D260" i="4"/>
  <c r="E260" i="4"/>
  <c r="C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G261" i="4"/>
  <c r="C261" i="4"/>
  <c r="E261" i="4"/>
  <c r="D261" i="4"/>
  <c r="B261" i="4"/>
  <c r="F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C262" i="4"/>
  <c r="E262" i="4"/>
  <c r="F262" i="4"/>
  <c r="D262" i="4"/>
  <c r="G262" i="4"/>
  <c r="B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E263" i="4"/>
  <c r="B263" i="4"/>
  <c r="C263" i="4"/>
  <c r="D263" i="4"/>
  <c r="G263" i="4"/>
  <c r="F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B264" i="4"/>
  <c r="G264" i="4"/>
  <c r="F264" i="4"/>
  <c r="E264" i="4"/>
  <c r="D264" i="4"/>
  <c r="C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G265" i="4"/>
  <c r="D265" i="4"/>
  <c r="F265" i="4"/>
  <c r="E265" i="4"/>
  <c r="B265" i="4"/>
  <c r="C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E266" i="4"/>
  <c r="B266" i="4"/>
  <c r="C266" i="4"/>
  <c r="G266" i="4"/>
  <c r="D266" i="4"/>
  <c r="F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B267" i="4"/>
  <c r="C267" i="4"/>
  <c r="D267" i="4"/>
  <c r="E267" i="4"/>
  <c r="G267" i="4"/>
  <c r="F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G268" i="4"/>
  <c r="E268" i="4"/>
  <c r="B268" i="4"/>
  <c r="F268" i="4"/>
  <c r="C268" i="4"/>
  <c r="D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C269" i="4"/>
  <c r="B269" i="4"/>
  <c r="D269" i="4"/>
  <c r="F269" i="4"/>
  <c r="G269" i="4"/>
  <c r="E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E270" i="4"/>
  <c r="G270" i="4"/>
  <c r="D270" i="4"/>
  <c r="F270" i="4"/>
  <c r="B270" i="4"/>
  <c r="C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B271" i="4"/>
  <c r="E271" i="4"/>
  <c r="D271" i="4"/>
  <c r="C271" i="4"/>
  <c r="F271" i="4"/>
  <c r="G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B272" i="4"/>
  <c r="C272" i="4"/>
  <c r="F272" i="4"/>
  <c r="E272" i="4"/>
  <c r="D272" i="4"/>
  <c r="G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C273" i="4"/>
  <c r="D273" i="4"/>
  <c r="B273" i="4"/>
  <c r="F273" i="4"/>
  <c r="G273" i="4"/>
  <c r="E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G274" i="4"/>
  <c r="D274" i="4"/>
  <c r="C274" i="4"/>
  <c r="F274" i="4"/>
  <c r="B274" i="4"/>
  <c r="E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C275" i="4"/>
  <c r="F275" i="4"/>
  <c r="G275" i="4"/>
  <c r="D275" i="4"/>
  <c r="E275" i="4"/>
  <c r="B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E276" i="4"/>
  <c r="C276" i="4"/>
  <c r="B276" i="4"/>
  <c r="F276" i="4"/>
  <c r="D276" i="4"/>
  <c r="G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B277" i="4"/>
  <c r="F277" i="4"/>
  <c r="C277" i="4"/>
  <c r="G277" i="4"/>
  <c r="D277" i="4"/>
  <c r="E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D278" i="4"/>
  <c r="E278" i="4"/>
  <c r="B278" i="4"/>
  <c r="F278" i="4"/>
  <c r="G278" i="4"/>
  <c r="C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C279" i="4"/>
  <c r="F279" i="4"/>
  <c r="G279" i="4"/>
  <c r="D279" i="4"/>
  <c r="B279" i="4"/>
  <c r="E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D280" i="4"/>
  <c r="F280" i="4"/>
  <c r="G280" i="4"/>
  <c r="C280" i="4"/>
  <c r="E280" i="4"/>
  <c r="B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D281" i="4"/>
  <c r="C281" i="4"/>
  <c r="B281" i="4"/>
  <c r="E281" i="4"/>
  <c r="F281" i="4"/>
  <c r="G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E282" i="4"/>
  <c r="C282" i="4"/>
  <c r="G282" i="4"/>
  <c r="B282" i="4"/>
  <c r="D282" i="4"/>
  <c r="F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C283" i="4"/>
  <c r="G283" i="4"/>
  <c r="B283" i="4"/>
  <c r="D283" i="4"/>
  <c r="F283" i="4"/>
  <c r="E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F284" i="4"/>
  <c r="G284" i="4"/>
  <c r="E284" i="4"/>
  <c r="D284" i="4"/>
  <c r="C284" i="4"/>
  <c r="B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G285" i="4"/>
  <c r="E285" i="4"/>
  <c r="D285" i="4"/>
  <c r="F285" i="4"/>
  <c r="C285" i="4"/>
  <c r="B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B286" i="4"/>
  <c r="C286" i="4"/>
  <c r="G286" i="4"/>
  <c r="E286" i="4"/>
  <c r="F286" i="4"/>
  <c r="D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E287" i="4"/>
  <c r="B287" i="4"/>
  <c r="D287" i="4"/>
  <c r="C287" i="4"/>
  <c r="F287" i="4"/>
  <c r="G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B288" i="4"/>
  <c r="F288" i="4"/>
  <c r="G288" i="4"/>
  <c r="C288" i="4"/>
  <c r="D288" i="4"/>
  <c r="E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D289" i="4"/>
  <c r="E289" i="4"/>
  <c r="F289" i="4"/>
  <c r="C289" i="4"/>
  <c r="B289" i="4"/>
  <c r="G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E290" i="4"/>
  <c r="G290" i="4"/>
  <c r="D290" i="4"/>
  <c r="C290" i="4"/>
  <c r="F290" i="4"/>
  <c r="B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D291" i="4"/>
  <c r="G291" i="4"/>
  <c r="C291" i="4"/>
  <c r="B291" i="4"/>
  <c r="E291" i="4"/>
  <c r="F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D292" i="4"/>
  <c r="G292" i="4"/>
  <c r="F292" i="4"/>
  <c r="B292" i="4"/>
  <c r="C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E293" i="4"/>
  <c r="F293" i="4"/>
  <c r="D293" i="4"/>
  <c r="B293" i="4"/>
  <c r="C293" i="4"/>
  <c r="G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D294" i="4"/>
  <c r="B294" i="4"/>
  <c r="E294" i="4"/>
  <c r="G294" i="4"/>
  <c r="F294" i="4"/>
  <c r="C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E295" i="4"/>
  <c r="G295" i="4"/>
  <c r="F295" i="4"/>
  <c r="D295" i="4"/>
  <c r="B295" i="4"/>
  <c r="C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G296" i="4"/>
  <c r="D296" i="4"/>
  <c r="B296" i="4"/>
  <c r="C296" i="4"/>
  <c r="E296" i="4"/>
  <c r="F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D297" i="4"/>
  <c r="G297" i="4"/>
  <c r="B297" i="4"/>
  <c r="F297" i="4"/>
  <c r="C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E298" i="4"/>
  <c r="B298" i="4"/>
  <c r="D298" i="4"/>
  <c r="G298" i="4"/>
  <c r="C298" i="4"/>
  <c r="F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G299" i="4"/>
  <c r="B299" i="4"/>
  <c r="F299" i="4"/>
  <c r="D299" i="4"/>
  <c r="E299" i="4"/>
  <c r="C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G300" i="4"/>
  <c r="C300" i="4"/>
  <c r="B300" i="4"/>
  <c r="E300" i="4"/>
  <c r="D300" i="4"/>
  <c r="F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B301" i="4"/>
  <c r="G301" i="4"/>
  <c r="E301" i="4"/>
  <c r="F301" i="4"/>
  <c r="D301" i="4"/>
  <c r="C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C302" i="4"/>
  <c r="F302" i="4"/>
  <c r="B302" i="4"/>
  <c r="G302" i="4"/>
  <c r="D302" i="4"/>
  <c r="E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F303" i="4"/>
  <c r="D303" i="4"/>
  <c r="E303" i="4"/>
  <c r="G303" i="4"/>
  <c r="C303" i="4"/>
  <c r="B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C304" i="4"/>
  <c r="E304" i="4"/>
  <c r="F304" i="4"/>
  <c r="B304" i="4"/>
  <c r="D304" i="4"/>
  <c r="G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B305" i="4"/>
  <c r="F305" i="4"/>
  <c r="D305" i="4"/>
  <c r="E305" i="4"/>
  <c r="G305" i="4"/>
  <c r="C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F306" i="4"/>
  <c r="G306" i="4"/>
  <c r="D306" i="4"/>
  <c r="E306" i="4"/>
  <c r="C306" i="4"/>
  <c r="B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F307" i="4"/>
  <c r="C307" i="4"/>
  <c r="E307" i="4"/>
  <c r="B307" i="4"/>
  <c r="D307" i="4"/>
  <c r="G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E308" i="4"/>
  <c r="B308" i="4"/>
  <c r="G308" i="4"/>
  <c r="F308" i="4"/>
  <c r="C308" i="4"/>
  <c r="D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E309" i="4"/>
  <c r="B309" i="4"/>
  <c r="D309" i="4"/>
  <c r="F309" i="4"/>
  <c r="C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G310" i="4"/>
  <c r="D310" i="4"/>
  <c r="B310" i="4"/>
  <c r="C310" i="4"/>
  <c r="E310" i="4"/>
  <c r="F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C311" i="4"/>
  <c r="D311" i="4"/>
  <c r="G311" i="4"/>
  <c r="F311" i="4"/>
  <c r="B311" i="4"/>
  <c r="E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E312" i="4"/>
  <c r="B312" i="4"/>
  <c r="C312" i="4"/>
  <c r="G312" i="4"/>
  <c r="D312" i="4"/>
  <c r="F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D313" i="4"/>
  <c r="C313" i="4"/>
  <c r="E313" i="4"/>
  <c r="F313" i="4"/>
  <c r="B313" i="4"/>
  <c r="G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G314" i="4"/>
  <c r="F314" i="4"/>
  <c r="E314" i="4"/>
  <c r="B314" i="4"/>
  <c r="C314" i="4"/>
  <c r="D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B315" i="4"/>
  <c r="F315" i="4"/>
  <c r="G315" i="4"/>
  <c r="D315" i="4"/>
  <c r="E315" i="4"/>
  <c r="C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E316" i="4"/>
  <c r="G316" i="4"/>
  <c r="D316" i="4"/>
  <c r="B316" i="4"/>
  <c r="C316" i="4"/>
  <c r="F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B317" i="4"/>
  <c r="F317" i="4"/>
  <c r="E317" i="4"/>
  <c r="C317" i="4"/>
  <c r="G317" i="4"/>
  <c r="D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C318" i="4"/>
  <c r="G318" i="4"/>
  <c r="B318" i="4"/>
  <c r="E318" i="4"/>
  <c r="D318" i="4"/>
  <c r="F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G319" i="4"/>
  <c r="C319" i="4"/>
  <c r="D319" i="4"/>
  <c r="F319" i="4"/>
  <c r="E319" i="4"/>
  <c r="B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F320" i="4"/>
  <c r="D320" i="4"/>
  <c r="E320" i="4"/>
  <c r="C320" i="4"/>
  <c r="G320" i="4"/>
  <c r="B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F321" i="4"/>
  <c r="C321" i="4"/>
  <c r="B321" i="4"/>
  <c r="E321" i="4"/>
  <c r="G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E322" i="4"/>
  <c r="G322" i="4"/>
  <c r="D322" i="4"/>
  <c r="F322" i="4"/>
  <c r="B322" i="4"/>
  <c r="C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E323" i="4"/>
  <c r="C323" i="4"/>
  <c r="D323" i="4"/>
  <c r="F323" i="4"/>
  <c r="B323" i="4"/>
  <c r="G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B324" i="4"/>
  <c r="C324" i="4"/>
  <c r="E324" i="4"/>
  <c r="G324" i="4"/>
  <c r="F324" i="4"/>
  <c r="D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E325" i="4"/>
  <c r="B325" i="4"/>
  <c r="D325" i="4"/>
  <c r="C325" i="4"/>
  <c r="G325" i="4"/>
  <c r="F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B326" i="4"/>
  <c r="E326" i="4"/>
  <c r="G326" i="4"/>
  <c r="C326" i="4"/>
  <c r="D326" i="4"/>
  <c r="F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D327" i="4"/>
  <c r="E327" i="4"/>
  <c r="G327" i="4"/>
  <c r="F327" i="4"/>
  <c r="B327" i="4"/>
  <c r="C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D328" i="4"/>
  <c r="G328" i="4"/>
  <c r="E328" i="4"/>
  <c r="F328" i="4"/>
  <c r="C328" i="4"/>
  <c r="B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E329" i="4"/>
  <c r="G329" i="4"/>
  <c r="F329" i="4"/>
  <c r="D329" i="4"/>
  <c r="C329" i="4"/>
  <c r="B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D330" i="4"/>
  <c r="F330" i="4"/>
  <c r="E330" i="4"/>
  <c r="B330" i="4"/>
  <c r="G330" i="4"/>
  <c r="C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G331" i="4"/>
  <c r="C331" i="4"/>
  <c r="D331" i="4"/>
  <c r="F331" i="4"/>
  <c r="B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E332" i="4"/>
  <c r="B332" i="4"/>
  <c r="F332" i="4"/>
  <c r="G332" i="4"/>
  <c r="C332" i="4"/>
  <c r="D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C333" i="4"/>
  <c r="E333" i="4"/>
  <c r="D333" i="4"/>
  <c r="B333" i="4"/>
  <c r="G333" i="4"/>
  <c r="F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D334" i="4"/>
  <c r="F334" i="4"/>
  <c r="G334" i="4"/>
  <c r="E334" i="4"/>
  <c r="C334" i="4"/>
  <c r="B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G335" i="4"/>
  <c r="B335" i="4"/>
  <c r="C335" i="4"/>
  <c r="D335" i="4"/>
  <c r="F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C336" i="4"/>
  <c r="B336" i="4"/>
  <c r="F336" i="4"/>
  <c r="D336" i="4"/>
  <c r="G336" i="4"/>
  <c r="E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E337" i="4"/>
  <c r="C337" i="4"/>
  <c r="B337" i="4"/>
  <c r="D337" i="4"/>
  <c r="F337" i="4"/>
  <c r="G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F338" i="4"/>
  <c r="D338" i="4"/>
  <c r="G338" i="4"/>
  <c r="B338" i="4"/>
  <c r="C338" i="4"/>
  <c r="E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G339" i="4"/>
  <c r="E339" i="4"/>
  <c r="D339" i="4"/>
  <c r="B339" i="4"/>
  <c r="F339" i="4"/>
  <c r="C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F340" i="4"/>
  <c r="G340" i="4"/>
  <c r="B340" i="4"/>
  <c r="C340" i="4"/>
  <c r="D340" i="4"/>
  <c r="E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D341" i="4"/>
  <c r="E341" i="4"/>
  <c r="G341" i="4"/>
  <c r="B341" i="4"/>
  <c r="F341" i="4"/>
  <c r="C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F342" i="4"/>
  <c r="G342" i="4"/>
  <c r="D342" i="4"/>
  <c r="E342" i="4"/>
  <c r="C342" i="4"/>
  <c r="B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E343" i="4"/>
  <c r="F343" i="4"/>
  <c r="C343" i="4"/>
  <c r="B343" i="4"/>
  <c r="G343" i="4"/>
  <c r="D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B344" i="4"/>
  <c r="C344" i="4"/>
  <c r="E344" i="4"/>
  <c r="G344" i="4"/>
  <c r="F344" i="4"/>
  <c r="D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D345" i="4"/>
  <c r="F345" i="4"/>
  <c r="E345" i="4"/>
  <c r="C345" i="4"/>
  <c r="B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B346" i="4"/>
  <c r="D346" i="4"/>
  <c r="E346" i="4"/>
  <c r="G346" i="4"/>
  <c r="C346" i="4"/>
  <c r="F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G347" i="4"/>
  <c r="B347" i="4"/>
  <c r="E347" i="4"/>
  <c r="C347" i="4"/>
  <c r="D347" i="4"/>
  <c r="F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G348" i="4"/>
  <c r="E348" i="4"/>
  <c r="D348" i="4"/>
  <c r="C348" i="4"/>
  <c r="B348" i="4"/>
  <c r="F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D349" i="4"/>
  <c r="G349" i="4"/>
  <c r="C349" i="4"/>
  <c r="B349" i="4"/>
  <c r="E349" i="4"/>
  <c r="F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C350" i="4"/>
  <c r="B350" i="4"/>
  <c r="E350" i="4"/>
  <c r="F350" i="4"/>
  <c r="G350" i="4"/>
  <c r="D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C351" i="4"/>
  <c r="F351" i="4"/>
  <c r="G351" i="4"/>
  <c r="B351" i="4"/>
  <c r="E351" i="4"/>
  <c r="D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C352" i="4"/>
  <c r="E352" i="4"/>
  <c r="G352" i="4"/>
  <c r="F352" i="4"/>
  <c r="D352" i="4"/>
  <c r="B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B353" i="4"/>
  <c r="G353" i="4"/>
  <c r="E353" i="4"/>
  <c r="F353" i="4"/>
  <c r="C353" i="4"/>
  <c r="D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E354" i="4"/>
  <c r="C354" i="4"/>
  <c r="B354" i="4"/>
  <c r="F354" i="4"/>
  <c r="D354" i="4"/>
  <c r="G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B355" i="4"/>
  <c r="D355" i="4"/>
  <c r="E355" i="4"/>
  <c r="G355" i="4"/>
  <c r="F355" i="4"/>
  <c r="C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D356" i="4"/>
  <c r="G356" i="4"/>
  <c r="C356" i="4"/>
  <c r="B356" i="4"/>
  <c r="E356" i="4"/>
  <c r="F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B357" i="4"/>
  <c r="F357" i="4"/>
  <c r="C357" i="4"/>
  <c r="G357" i="4"/>
  <c r="D357" i="4"/>
  <c r="E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C358" i="4"/>
  <c r="G358" i="4"/>
  <c r="D358" i="4"/>
  <c r="B358" i="4"/>
  <c r="F358" i="4"/>
  <c r="E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E359" i="4"/>
  <c r="B359" i="4"/>
  <c r="G359" i="4"/>
  <c r="F359" i="4"/>
  <c r="D359" i="4"/>
  <c r="C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C360" i="4"/>
  <c r="B360" i="4"/>
  <c r="E360" i="4"/>
  <c r="G360" i="4"/>
  <c r="D360" i="4"/>
  <c r="F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E361" i="4"/>
  <c r="C361" i="4"/>
  <c r="F361" i="4"/>
  <c r="B361" i="4"/>
  <c r="D361" i="4"/>
  <c r="G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B362" i="4"/>
  <c r="E362" i="4"/>
  <c r="F362" i="4"/>
  <c r="G362" i="4"/>
  <c r="C362" i="4"/>
  <c r="D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F363" i="4"/>
  <c r="D363" i="4"/>
  <c r="B363" i="4"/>
  <c r="G363" i="4"/>
  <c r="E363" i="4"/>
  <c r="C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D364" i="4"/>
  <c r="B364" i="4"/>
  <c r="C364" i="4"/>
  <c r="E364" i="4"/>
  <c r="G364" i="4"/>
  <c r="F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F365" i="4"/>
  <c r="G365" i="4"/>
  <c r="C365" i="4"/>
  <c r="E365" i="4"/>
  <c r="D365" i="4"/>
  <c r="B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E366" i="4"/>
  <c r="F366" i="4"/>
  <c r="C366" i="4"/>
  <c r="G366" i="4"/>
  <c r="D366" i="4"/>
  <c r="B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F367" i="4"/>
  <c r="E367" i="4"/>
  <c r="C367" i="4"/>
  <c r="B367" i="4"/>
  <c r="D367" i="4"/>
  <c r="G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E368" i="4"/>
  <c r="F368" i="4"/>
  <c r="B368" i="4"/>
  <c r="C368" i="4"/>
  <c r="G368" i="4"/>
  <c r="D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F369" i="4"/>
  <c r="G369" i="4"/>
  <c r="C369" i="4"/>
  <c r="B369" i="4"/>
  <c r="D369" i="4"/>
  <c r="E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D370" i="4"/>
  <c r="E370" i="4"/>
  <c r="B370" i="4"/>
  <c r="F370" i="4"/>
  <c r="G370" i="4"/>
  <c r="C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B371" i="4"/>
  <c r="F371" i="4"/>
  <c r="D371" i="4"/>
  <c r="G371" i="4"/>
  <c r="E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F372" i="4"/>
  <c r="D372" i="4"/>
  <c r="C372" i="4"/>
  <c r="G372" i="4"/>
  <c r="B372" i="4"/>
  <c r="E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G373" i="4"/>
  <c r="B373" i="4"/>
  <c r="D373" i="4"/>
  <c r="F373" i="4"/>
  <c r="C373" i="4"/>
  <c r="E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C374" i="4"/>
  <c r="G374" i="4"/>
  <c r="D374" i="4"/>
  <c r="F374" i="4"/>
  <c r="E374" i="4"/>
  <c r="B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G375" i="4"/>
  <c r="B375" i="4"/>
  <c r="D375" i="4"/>
  <c r="F375" i="4"/>
  <c r="C375" i="4"/>
  <c r="E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D376" i="4"/>
  <c r="C376" i="4"/>
  <c r="F376" i="4"/>
  <c r="E376" i="4"/>
  <c r="G376" i="4"/>
  <c r="B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D377" i="4"/>
  <c r="G377" i="4"/>
  <c r="E377" i="4"/>
  <c r="C377" i="4"/>
  <c r="F377" i="4"/>
  <c r="B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C378" i="4"/>
  <c r="G378" i="4"/>
  <c r="D378" i="4"/>
  <c r="B378" i="4"/>
  <c r="E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C379" i="4"/>
  <c r="B379" i="4"/>
  <c r="G379" i="4"/>
  <c r="D379" i="4"/>
  <c r="E379" i="4"/>
  <c r="F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F380" i="4"/>
  <c r="G380" i="4"/>
  <c r="C380" i="4"/>
  <c r="D380" i="4"/>
  <c r="E380" i="4"/>
  <c r="B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B381" i="4"/>
  <c r="E381" i="4"/>
  <c r="G381" i="4"/>
  <c r="D381" i="4"/>
  <c r="C381" i="4"/>
  <c r="F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E382" i="4"/>
  <c r="G382" i="4"/>
  <c r="D382" i="4"/>
  <c r="C382" i="4"/>
  <c r="F382" i="4"/>
  <c r="B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G383" i="4"/>
  <c r="F383" i="4"/>
  <c r="E383" i="4"/>
  <c r="D383" i="4"/>
  <c r="C383" i="4"/>
  <c r="B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F384" i="4"/>
  <c r="C384" i="4"/>
  <c r="G384" i="4"/>
  <c r="D384" i="4"/>
  <c r="E384" i="4"/>
  <c r="B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E385" i="4"/>
  <c r="F385" i="4"/>
  <c r="G385" i="4"/>
  <c r="B385" i="4"/>
  <c r="C385" i="4"/>
  <c r="D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E386" i="4"/>
  <c r="D386" i="4"/>
  <c r="B386" i="4"/>
  <c r="G386" i="4"/>
  <c r="C386" i="4"/>
  <c r="F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C387" i="4"/>
  <c r="F387" i="4"/>
  <c r="G387" i="4"/>
  <c r="B387" i="4"/>
  <c r="D387" i="4"/>
  <c r="E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C388" i="4"/>
  <c r="F388" i="4"/>
  <c r="B388" i="4"/>
  <c r="D388" i="4"/>
  <c r="E388" i="4"/>
  <c r="G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C389" i="4"/>
  <c r="G389" i="4"/>
  <c r="E389" i="4"/>
  <c r="B389" i="4"/>
  <c r="D389" i="4"/>
  <c r="F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B390" i="4"/>
  <c r="C390" i="4"/>
  <c r="G390" i="4"/>
  <c r="E390" i="4"/>
  <c r="F390" i="4"/>
  <c r="D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F391" i="4"/>
  <c r="G391" i="4"/>
  <c r="E391" i="4"/>
  <c r="C391" i="4"/>
  <c r="B391" i="4"/>
  <c r="D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C392" i="4"/>
  <c r="F392" i="4"/>
  <c r="B392" i="4"/>
  <c r="D392" i="4"/>
  <c r="G392" i="4"/>
  <c r="E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E393" i="4"/>
  <c r="D393" i="4"/>
  <c r="F393" i="4"/>
  <c r="G393" i="4"/>
  <c r="B393" i="4"/>
  <c r="C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D394" i="4"/>
  <c r="G394" i="4"/>
  <c r="B394" i="4"/>
  <c r="C394" i="4"/>
  <c r="E394" i="4"/>
  <c r="F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G395" i="4"/>
  <c r="E395" i="4"/>
  <c r="F395" i="4"/>
  <c r="B395" i="4"/>
  <c r="D395" i="4"/>
  <c r="C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G396" i="4"/>
  <c r="D396" i="4"/>
  <c r="E396" i="4"/>
  <c r="C396" i="4"/>
  <c r="F396" i="4"/>
  <c r="B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E397" i="4"/>
  <c r="D397" i="4"/>
  <c r="G397" i="4"/>
  <c r="B397" i="4"/>
  <c r="F397" i="4"/>
  <c r="C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E398" i="4"/>
  <c r="F398" i="4"/>
  <c r="D398" i="4"/>
  <c r="B398" i="4"/>
  <c r="C398" i="4"/>
  <c r="G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E399" i="4"/>
  <c r="C399" i="4"/>
  <c r="D399" i="4"/>
  <c r="F399" i="4"/>
  <c r="G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B400" i="4"/>
  <c r="F400" i="4"/>
  <c r="D400" i="4"/>
  <c r="G400" i="4"/>
  <c r="C400" i="4"/>
  <c r="E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F401" i="4"/>
  <c r="B401" i="4"/>
  <c r="D401" i="4"/>
  <c r="G401" i="4"/>
  <c r="E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D402" i="4"/>
  <c r="E402" i="4"/>
  <c r="B402" i="4"/>
  <c r="G402" i="4"/>
  <c r="C402" i="4"/>
  <c r="F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E403" i="4"/>
  <c r="B403" i="4"/>
  <c r="G403" i="4"/>
  <c r="D403" i="4"/>
  <c r="C403" i="4"/>
  <c r="F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G404" i="4"/>
  <c r="B404" i="4"/>
  <c r="F404" i="4"/>
  <c r="E404" i="4"/>
  <c r="D404" i="4"/>
  <c r="C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G405" i="4"/>
  <c r="B405" i="4"/>
  <c r="C405" i="4"/>
  <c r="F405" i="4"/>
  <c r="D405" i="4"/>
  <c r="E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D406" i="4"/>
  <c r="E406" i="4"/>
  <c r="C406" i="4"/>
  <c r="B406" i="4"/>
  <c r="G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B407" i="4"/>
  <c r="F407" i="4"/>
  <c r="G407" i="4"/>
  <c r="D407" i="4"/>
  <c r="E407" i="4"/>
  <c r="C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E408" i="4"/>
  <c r="D408" i="4"/>
  <c r="C408" i="4"/>
  <c r="G408" i="4"/>
  <c r="B408" i="4"/>
  <c r="F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G409" i="4"/>
  <c r="E409" i="4"/>
  <c r="C409" i="4"/>
  <c r="D409" i="4"/>
  <c r="B409" i="4"/>
  <c r="F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D410" i="4"/>
  <c r="C410" i="4"/>
  <c r="E410" i="4"/>
  <c r="F410" i="4"/>
  <c r="B410" i="4"/>
  <c r="G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F411" i="4"/>
  <c r="G411" i="4"/>
  <c r="C411" i="4"/>
  <c r="E411" i="4"/>
  <c r="B411" i="4"/>
  <c r="D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D412" i="4"/>
  <c r="B412" i="4"/>
  <c r="E412" i="4"/>
  <c r="C412" i="4"/>
  <c r="G412" i="4"/>
  <c r="F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D413" i="4"/>
  <c r="C413" i="4"/>
  <c r="F413" i="4"/>
  <c r="G413" i="4"/>
  <c r="B413" i="4"/>
  <c r="E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C414" i="4"/>
  <c r="G414" i="4"/>
  <c r="F414" i="4"/>
  <c r="B414" i="4"/>
  <c r="D414" i="4"/>
  <c r="E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F415" i="4"/>
  <c r="B415" i="4"/>
  <c r="G415" i="4"/>
  <c r="E415" i="4"/>
  <c r="C415" i="4"/>
  <c r="D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G416" i="4"/>
  <c r="E416" i="4"/>
  <c r="D416" i="4"/>
  <c r="B416" i="4"/>
  <c r="F416" i="4"/>
  <c r="C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B417" i="4"/>
  <c r="C417" i="4"/>
  <c r="D417" i="4"/>
  <c r="F417" i="4"/>
  <c r="E417" i="4"/>
  <c r="G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E418" i="4"/>
  <c r="G418" i="4"/>
  <c r="D418" i="4"/>
  <c r="B418" i="4"/>
  <c r="C418" i="4"/>
  <c r="F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G419" i="4"/>
  <c r="F419" i="4"/>
  <c r="D419" i="4"/>
  <c r="C419" i="4"/>
  <c r="B419" i="4"/>
  <c r="E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C420" i="4"/>
  <c r="B420" i="4"/>
  <c r="F420" i="4"/>
  <c r="D420" i="4"/>
  <c r="G420" i="4"/>
  <c r="E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E421" i="4"/>
  <c r="B421" i="4"/>
  <c r="C421" i="4"/>
  <c r="D421" i="4"/>
  <c r="G421" i="4"/>
  <c r="F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D422" i="4"/>
  <c r="B422" i="4"/>
  <c r="E422" i="4"/>
  <c r="G422" i="4"/>
  <c r="F422" i="4"/>
  <c r="C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G423" i="4"/>
  <c r="C423" i="4"/>
  <c r="F423" i="4"/>
  <c r="D423" i="4"/>
  <c r="E423" i="4"/>
  <c r="B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D424" i="4"/>
  <c r="G424" i="4"/>
  <c r="C424" i="4"/>
  <c r="E424" i="4"/>
  <c r="B424" i="4"/>
  <c r="F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C425" i="4"/>
  <c r="D425" i="4"/>
  <c r="F425" i="4"/>
  <c r="G425" i="4"/>
  <c r="B425" i="4"/>
  <c r="E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C426" i="4"/>
  <c r="F426" i="4"/>
  <c r="B426" i="4"/>
  <c r="D426" i="4"/>
  <c r="G426" i="4"/>
  <c r="E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D427" i="4"/>
  <c r="G427" i="4"/>
  <c r="F427" i="4"/>
  <c r="E427" i="4"/>
  <c r="B427" i="4"/>
  <c r="C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G428" i="4"/>
  <c r="E428" i="4"/>
  <c r="C428" i="4"/>
  <c r="F428" i="4"/>
  <c r="B428" i="4"/>
  <c r="D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F429" i="4"/>
  <c r="B429" i="4"/>
  <c r="D429" i="4"/>
  <c r="C429" i="4"/>
  <c r="E429" i="4"/>
  <c r="G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E430" i="4"/>
  <c r="G430" i="4"/>
  <c r="C430" i="4"/>
  <c r="F430" i="4"/>
  <c r="D430" i="4"/>
  <c r="B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E431" i="4"/>
  <c r="D431" i="4"/>
  <c r="F431" i="4"/>
  <c r="B431" i="4"/>
  <c r="C431" i="4"/>
  <c r="G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B432" i="4"/>
  <c r="F432" i="4"/>
  <c r="E432" i="4"/>
  <c r="D432" i="4"/>
  <c r="C432" i="4"/>
  <c r="G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B433" i="4"/>
  <c r="D433" i="4"/>
  <c r="G433" i="4"/>
  <c r="F433" i="4"/>
  <c r="E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E434" i="4"/>
  <c r="D434" i="4"/>
  <c r="B434" i="4"/>
  <c r="C434" i="4"/>
  <c r="F434" i="4"/>
  <c r="G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E435" i="4"/>
  <c r="G435" i="4"/>
  <c r="F435" i="4"/>
  <c r="C435" i="4"/>
  <c r="D435" i="4"/>
  <c r="B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E436" i="4"/>
  <c r="C436" i="4"/>
  <c r="D436" i="4"/>
  <c r="B436" i="4"/>
  <c r="F436" i="4"/>
  <c r="G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G437" i="4"/>
  <c r="E437" i="4"/>
  <c r="C437" i="4"/>
  <c r="B437" i="4"/>
  <c r="F437" i="4"/>
  <c r="D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B438" i="4"/>
  <c r="C438" i="4"/>
  <c r="F438" i="4"/>
  <c r="D438" i="4"/>
  <c r="G438" i="4"/>
  <c r="E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G439" i="4"/>
  <c r="E439" i="4"/>
  <c r="F439" i="4"/>
  <c r="C439" i="4"/>
  <c r="D439" i="4"/>
  <c r="B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C440" i="4"/>
  <c r="F440" i="4"/>
  <c r="G440" i="4"/>
  <c r="D440" i="4"/>
  <c r="E440" i="4"/>
  <c r="B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G441" i="4"/>
  <c r="E441" i="4"/>
  <c r="C441" i="4"/>
  <c r="D441" i="4"/>
  <c r="F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G442" i="4"/>
  <c r="D442" i="4"/>
  <c r="F442" i="4"/>
  <c r="B442" i="4"/>
  <c r="C442" i="4"/>
  <c r="E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G443" i="4"/>
  <c r="E443" i="4"/>
  <c r="F443" i="4"/>
  <c r="B443" i="4"/>
  <c r="C443" i="4"/>
  <c r="D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C444" i="4"/>
  <c r="B444" i="4"/>
  <c r="D444" i="4"/>
  <c r="E444" i="4"/>
  <c r="F444" i="4"/>
  <c r="G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B445" i="4"/>
  <c r="G445" i="4"/>
  <c r="F445" i="4"/>
  <c r="E445" i="4"/>
  <c r="D445" i="4"/>
  <c r="C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E446" i="4"/>
  <c r="C446" i="4"/>
  <c r="B446" i="4"/>
  <c r="D446" i="4"/>
  <c r="F446" i="4"/>
  <c r="G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E447" i="4"/>
  <c r="C447" i="4"/>
  <c r="B447" i="4"/>
  <c r="F447" i="4"/>
  <c r="D447" i="4"/>
  <c r="G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E448" i="4"/>
  <c r="F448" i="4"/>
  <c r="G448" i="4"/>
  <c r="D448" i="4"/>
  <c r="B448" i="4"/>
  <c r="C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D449" i="4"/>
  <c r="B449" i="4"/>
  <c r="F449" i="4"/>
  <c r="G449" i="4"/>
  <c r="C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F450" i="4"/>
  <c r="G450" i="4"/>
  <c r="D450" i="4"/>
  <c r="B450" i="4"/>
  <c r="E450" i="4"/>
  <c r="C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G451" i="4"/>
  <c r="E451" i="4"/>
  <c r="D451" i="4"/>
  <c r="F451" i="4"/>
  <c r="C451" i="4"/>
  <c r="B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G452" i="4"/>
  <c r="D452" i="4"/>
  <c r="B452" i="4"/>
  <c r="F452" i="4"/>
  <c r="C452" i="4"/>
  <c r="E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F453" i="4"/>
  <c r="G453" i="4"/>
  <c r="C453" i="4"/>
  <c r="B453" i="4"/>
  <c r="D453" i="4"/>
  <c r="E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F454" i="4"/>
  <c r="G454" i="4"/>
  <c r="D454" i="4"/>
  <c r="B454" i="4"/>
  <c r="E454" i="4"/>
  <c r="C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F455" i="4"/>
  <c r="C455" i="4"/>
  <c r="E455" i="4"/>
  <c r="B455" i="4"/>
  <c r="D455" i="4"/>
  <c r="G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B456" i="4"/>
  <c r="G456" i="4"/>
  <c r="C456" i="4"/>
  <c r="E456" i="4"/>
  <c r="F456" i="4"/>
  <c r="D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D457" i="4"/>
  <c r="G457" i="4"/>
  <c r="B457" i="4"/>
  <c r="C457" i="4"/>
  <c r="F457" i="4"/>
  <c r="E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G458" i="4"/>
  <c r="D458" i="4"/>
  <c r="E458" i="4"/>
  <c r="B458" i="4"/>
  <c r="C458" i="4"/>
  <c r="F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C459" i="4"/>
  <c r="E459" i="4"/>
  <c r="G459" i="4"/>
  <c r="D459" i="4"/>
  <c r="B459" i="4"/>
  <c r="F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D460" i="4"/>
  <c r="C460" i="4"/>
  <c r="G460" i="4"/>
  <c r="E460" i="4"/>
  <c r="F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E461" i="4"/>
  <c r="D461" i="4"/>
  <c r="B461" i="4"/>
  <c r="F461" i="4"/>
  <c r="C461" i="4"/>
  <c r="G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C462" i="4"/>
  <c r="E462" i="4"/>
  <c r="D462" i="4"/>
  <c r="F462" i="4"/>
  <c r="B462" i="4"/>
  <c r="G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D463" i="4"/>
  <c r="G463" i="4"/>
  <c r="E463" i="4"/>
  <c r="F463" i="4"/>
  <c r="C463" i="4"/>
  <c r="B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C464" i="4"/>
  <c r="E464" i="4"/>
  <c r="G464" i="4"/>
  <c r="B464" i="4"/>
  <c r="D464" i="4"/>
  <c r="F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E465" i="4"/>
  <c r="C465" i="4"/>
  <c r="F465" i="4"/>
  <c r="G465" i="4"/>
  <c r="D465" i="4"/>
  <c r="B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G466" i="4"/>
  <c r="C466" i="4"/>
  <c r="F466" i="4"/>
  <c r="E466" i="4"/>
  <c r="D466" i="4"/>
  <c r="B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C467" i="4"/>
  <c r="B467" i="4"/>
  <c r="G467" i="4"/>
  <c r="D467" i="4"/>
  <c r="F467" i="4"/>
  <c r="E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E468" i="4"/>
  <c r="D468" i="4"/>
  <c r="G468" i="4"/>
  <c r="F468" i="4"/>
  <c r="C468" i="4"/>
  <c r="B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B469" i="4"/>
  <c r="C469" i="4"/>
  <c r="E469" i="4"/>
  <c r="F469" i="4"/>
  <c r="G469" i="4"/>
  <c r="D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G470" i="4"/>
  <c r="F470" i="4"/>
  <c r="E470" i="4"/>
  <c r="D470" i="4"/>
  <c r="C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F471" i="4"/>
  <c r="C471" i="4"/>
  <c r="D471" i="4"/>
  <c r="E471" i="4"/>
  <c r="B471" i="4"/>
  <c r="G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E472" i="4"/>
  <c r="C472" i="4"/>
  <c r="G472" i="4"/>
  <c r="D472" i="4"/>
  <c r="F472" i="4"/>
  <c r="B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F473" i="4"/>
  <c r="D473" i="4"/>
  <c r="G473" i="4"/>
  <c r="C473" i="4"/>
  <c r="E473" i="4"/>
  <c r="B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E474" i="4"/>
  <c r="F474" i="4"/>
  <c r="G474" i="4"/>
  <c r="C474" i="4"/>
  <c r="B474" i="4"/>
  <c r="D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G475" i="4"/>
  <c r="C475" i="4"/>
  <c r="B475" i="4"/>
  <c r="F475" i="4"/>
  <c r="D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B476" i="4"/>
  <c r="D476" i="4"/>
  <c r="G476" i="4"/>
  <c r="E476" i="4"/>
  <c r="C476" i="4"/>
  <c r="F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G477" i="4"/>
  <c r="D477" i="4"/>
  <c r="E477" i="4"/>
  <c r="F477" i="4"/>
  <c r="C477" i="4"/>
  <c r="B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B478" i="4"/>
  <c r="G478" i="4"/>
  <c r="F478" i="4"/>
  <c r="E478" i="4"/>
  <c r="D478" i="4"/>
  <c r="C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F479" i="4"/>
  <c r="C479" i="4"/>
  <c r="E479" i="4"/>
  <c r="G479" i="4"/>
  <c r="D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G480" i="4"/>
  <c r="B480" i="4"/>
  <c r="E480" i="4"/>
  <c r="F480" i="4"/>
  <c r="C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G481" i="4"/>
  <c r="E481" i="4"/>
  <c r="B481" i="4"/>
  <c r="C481" i="4"/>
  <c r="F481" i="4"/>
  <c r="D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G482" i="4"/>
  <c r="E482" i="4"/>
  <c r="B482" i="4"/>
  <c r="F482" i="4"/>
  <c r="D482" i="4"/>
  <c r="C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C483" i="4"/>
  <c r="F483" i="4"/>
  <c r="B483" i="4"/>
  <c r="D483" i="4"/>
  <c r="G483" i="4"/>
  <c r="E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C484" i="4"/>
  <c r="G484" i="4"/>
  <c r="D484" i="4"/>
  <c r="B484" i="4"/>
  <c r="F484" i="4"/>
  <c r="E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B485" i="4"/>
  <c r="F485" i="4"/>
  <c r="G485" i="4"/>
  <c r="E485" i="4"/>
  <c r="D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E486" i="4"/>
  <c r="C486" i="4"/>
  <c r="B486" i="4"/>
  <c r="F486" i="4"/>
  <c r="D486" i="4"/>
  <c r="G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F487" i="4"/>
  <c r="B487" i="4"/>
  <c r="G487" i="4"/>
  <c r="D487" i="4"/>
  <c r="C487" i="4"/>
  <c r="E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E488" i="4"/>
  <c r="B488" i="4"/>
  <c r="F488" i="4"/>
  <c r="D488" i="4"/>
  <c r="G488" i="4"/>
  <c r="C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G489" i="4"/>
  <c r="E489" i="4"/>
  <c r="D489" i="4"/>
  <c r="F489" i="4"/>
  <c r="C489" i="4"/>
  <c r="B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G490" i="4"/>
  <c r="E490" i="4"/>
  <c r="C490" i="4"/>
  <c r="D490" i="4"/>
  <c r="B490" i="4"/>
  <c r="F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G491" i="4"/>
  <c r="D491" i="4"/>
  <c r="C491" i="4"/>
  <c r="B491" i="4"/>
  <c r="F491" i="4"/>
  <c r="E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F492" i="4"/>
  <c r="B492" i="4"/>
  <c r="E492" i="4"/>
  <c r="D492" i="4"/>
  <c r="G492" i="4"/>
  <c r="C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B493" i="4"/>
  <c r="G493" i="4"/>
  <c r="C493" i="4"/>
  <c r="D493" i="4"/>
  <c r="F493" i="4"/>
  <c r="E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E494" i="4"/>
  <c r="F494" i="4"/>
  <c r="B494" i="4"/>
  <c r="G494" i="4"/>
  <c r="D494" i="4"/>
  <c r="C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B495" i="4"/>
  <c r="D495" i="4"/>
  <c r="F495" i="4"/>
  <c r="C495" i="4"/>
  <c r="G495" i="4"/>
  <c r="E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G496" i="4"/>
  <c r="D496" i="4"/>
  <c r="C496" i="4"/>
  <c r="F496" i="4"/>
  <c r="B496" i="4"/>
  <c r="E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F497" i="4"/>
  <c r="C497" i="4"/>
  <c r="D497" i="4"/>
  <c r="G497" i="4"/>
  <c r="E497" i="4"/>
  <c r="B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F498" i="4"/>
  <c r="B498" i="4"/>
  <c r="G498" i="4"/>
  <c r="D498" i="4"/>
  <c r="C498" i="4"/>
  <c r="E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C499" i="4"/>
  <c r="E499" i="4"/>
  <c r="G499" i="4"/>
  <c r="B499" i="4"/>
  <c r="D499" i="4"/>
  <c r="F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E500" i="4"/>
  <c r="F500" i="4"/>
  <c r="C500" i="4"/>
  <c r="D500" i="4"/>
  <c r="G500" i="4"/>
  <c r="B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F501" i="4"/>
  <c r="E501" i="4"/>
  <c r="D501" i="4"/>
  <c r="B501" i="4"/>
  <c r="C501" i="4"/>
  <c r="G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C502" i="4"/>
  <c r="G502" i="4"/>
  <c r="F502" i="4"/>
  <c r="E502" i="4"/>
  <c r="D502" i="4"/>
  <c r="B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B503" i="4"/>
  <c r="G503" i="4"/>
  <c r="C503" i="4"/>
  <c r="E503" i="4"/>
  <c r="D503" i="4"/>
  <c r="F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C504" i="4"/>
  <c r="F504" i="4"/>
  <c r="E504" i="4"/>
  <c r="G504" i="4"/>
  <c r="B504" i="4"/>
  <c r="D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G505" i="4"/>
  <c r="E505" i="4"/>
  <c r="C505" i="4"/>
  <c r="B505" i="4"/>
  <c r="D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D506" i="4"/>
  <c r="B506" i="4"/>
  <c r="G506" i="4"/>
  <c r="C506" i="4"/>
  <c r="E506" i="4"/>
  <c r="F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D507" i="4"/>
  <c r="G507" i="4"/>
  <c r="F507" i="4"/>
  <c r="E507" i="4"/>
  <c r="C507" i="4"/>
  <c r="B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F508" i="4"/>
  <c r="B508" i="4"/>
  <c r="G508" i="4"/>
  <c r="E508" i="4"/>
  <c r="D508" i="4"/>
  <c r="C508" i="4"/>
  <c r="F505" i="8" l="1"/>
  <c r="C506" i="6"/>
  <c r="D506" i="6" s="1"/>
  <c r="H505" i="6"/>
  <c r="B506" i="8" s="1"/>
  <c r="B507" i="6"/>
  <c r="H508" i="4"/>
  <c r="I508" i="4"/>
  <c r="A508" i="6"/>
  <c r="A509" i="8" s="1"/>
  <c r="G509" i="4"/>
  <c r="D509" i="4"/>
  <c r="B509" i="4"/>
  <c r="F509" i="4"/>
  <c r="C509" i="4"/>
  <c r="E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E510" i="4"/>
  <c r="F510" i="4"/>
  <c r="B510" i="4"/>
  <c r="G510" i="4"/>
  <c r="D510" i="4"/>
  <c r="C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E511" i="4"/>
  <c r="B511" i="4"/>
  <c r="D511" i="4"/>
  <c r="G511" i="4"/>
  <c r="C511" i="4"/>
  <c r="F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F512" i="4"/>
  <c r="E512" i="4"/>
  <c r="D512" i="4"/>
  <c r="C512" i="4"/>
  <c r="G512" i="4"/>
  <c r="B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E513" i="4"/>
  <c r="C513" i="4"/>
  <c r="D513" i="4"/>
  <c r="F513" i="4"/>
  <c r="G513" i="4"/>
  <c r="B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G514" i="4"/>
  <c r="D514" i="4"/>
  <c r="C514" i="4"/>
  <c r="E514" i="4"/>
  <c r="F514" i="4"/>
  <c r="B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B515" i="4"/>
  <c r="C515" i="4"/>
  <c r="G515" i="4"/>
  <c r="F515" i="4"/>
  <c r="E515" i="4"/>
  <c r="D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B516" i="4"/>
  <c r="E516" i="4"/>
  <c r="C516" i="4"/>
  <c r="F516" i="4"/>
  <c r="G516" i="4"/>
  <c r="D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B517" i="4"/>
  <c r="F517" i="4"/>
  <c r="C517" i="4"/>
  <c r="E517" i="4"/>
  <c r="D517" i="4"/>
  <c r="G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E518" i="4"/>
  <c r="G518" i="4"/>
  <c r="C518" i="4"/>
  <c r="F518" i="4"/>
  <c r="B518" i="4"/>
  <c r="D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G519" i="4"/>
  <c r="F519" i="4"/>
  <c r="E519" i="4"/>
  <c r="D519" i="4"/>
  <c r="C519" i="4"/>
  <c r="B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F520" i="4"/>
  <c r="B520" i="4"/>
  <c r="G520" i="4"/>
  <c r="C520" i="4"/>
  <c r="E520" i="4"/>
  <c r="D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B521" i="4"/>
  <c r="C521" i="4"/>
  <c r="G521" i="4"/>
  <c r="F521" i="4"/>
  <c r="D521" i="4"/>
  <c r="E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G522" i="4"/>
  <c r="C522" i="4"/>
  <c r="E522" i="4"/>
  <c r="B522" i="4"/>
  <c r="D522" i="4"/>
  <c r="F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B523" i="4"/>
  <c r="G523" i="4"/>
  <c r="C523" i="4"/>
  <c r="F523" i="4"/>
  <c r="D523" i="4"/>
  <c r="E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G524" i="4"/>
  <c r="E524" i="4"/>
  <c r="B524" i="4"/>
  <c r="D524" i="4"/>
  <c r="C524" i="4"/>
  <c r="F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E525" i="4"/>
  <c r="G525" i="4"/>
  <c r="B525" i="4"/>
  <c r="D525" i="4"/>
  <c r="F525" i="4"/>
  <c r="C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F526" i="4"/>
  <c r="E526" i="4"/>
  <c r="D526" i="4"/>
  <c r="C526" i="4"/>
  <c r="B526" i="4"/>
  <c r="G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C527" i="4"/>
  <c r="F527" i="4"/>
  <c r="D527" i="4"/>
  <c r="E527" i="4"/>
  <c r="G527" i="4"/>
  <c r="B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D528" i="4"/>
  <c r="E528" i="4"/>
  <c r="F528" i="4"/>
  <c r="G528" i="4"/>
  <c r="C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B529" i="4"/>
  <c r="G529" i="4"/>
  <c r="D529" i="4"/>
  <c r="E529" i="4"/>
  <c r="F529" i="4"/>
  <c r="C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G530" i="4"/>
  <c r="C530" i="4"/>
  <c r="F530" i="4"/>
  <c r="D530" i="4"/>
  <c r="B530" i="4"/>
  <c r="E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C531" i="4"/>
  <c r="F531" i="4"/>
  <c r="B531" i="4"/>
  <c r="E531" i="4"/>
  <c r="G531" i="4"/>
  <c r="D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D532" i="4"/>
  <c r="C532" i="4"/>
  <c r="G532" i="4"/>
  <c r="E532" i="4"/>
  <c r="B532" i="4"/>
  <c r="F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F533" i="4"/>
  <c r="D533" i="4"/>
  <c r="B533" i="4"/>
  <c r="G533" i="4"/>
  <c r="E533" i="4"/>
  <c r="C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B534" i="4"/>
  <c r="F534" i="4"/>
  <c r="G534" i="4"/>
  <c r="D534" i="4"/>
  <c r="C534" i="4"/>
  <c r="E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D535" i="4"/>
  <c r="G535" i="4"/>
  <c r="F535" i="4"/>
  <c r="C535" i="4"/>
  <c r="E535" i="4"/>
  <c r="B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D536" i="4"/>
  <c r="F536" i="4"/>
  <c r="C536" i="4"/>
  <c r="E536" i="4"/>
  <c r="G536" i="4"/>
  <c r="B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E537" i="4"/>
  <c r="F537" i="4"/>
  <c r="D537" i="4"/>
  <c r="C537" i="4"/>
  <c r="B537" i="4"/>
  <c r="G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B538" i="4"/>
  <c r="D538" i="4"/>
  <c r="C538" i="4"/>
  <c r="G538" i="4"/>
  <c r="F538" i="4"/>
  <c r="E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C539" i="4"/>
  <c r="G539" i="4"/>
  <c r="D539" i="4"/>
  <c r="E539" i="4"/>
  <c r="F539" i="4"/>
  <c r="B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B540" i="4"/>
  <c r="E540" i="4"/>
  <c r="F540" i="4"/>
  <c r="D540" i="4"/>
  <c r="C540" i="4"/>
  <c r="G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B541" i="4"/>
  <c r="F541" i="4"/>
  <c r="G541" i="4"/>
  <c r="D541" i="4"/>
  <c r="C541" i="4"/>
  <c r="E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G542" i="4"/>
  <c r="E542" i="4"/>
  <c r="D542" i="4"/>
  <c r="B542" i="4"/>
  <c r="C542" i="4"/>
  <c r="F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B543" i="4"/>
  <c r="E543" i="4"/>
  <c r="G543" i="4"/>
  <c r="C543" i="4"/>
  <c r="D543" i="4"/>
  <c r="F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B544" i="4"/>
  <c r="E544" i="4"/>
  <c r="F544" i="4"/>
  <c r="C544" i="4"/>
  <c r="D544" i="4"/>
  <c r="G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D545" i="4"/>
  <c r="F545" i="4"/>
  <c r="C545" i="4"/>
  <c r="E545" i="4"/>
  <c r="B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E546" i="4"/>
  <c r="B546" i="4"/>
  <c r="C546" i="4"/>
  <c r="D546" i="4"/>
  <c r="F546" i="4"/>
  <c r="G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F547" i="4"/>
  <c r="D547" i="4"/>
  <c r="E547" i="4"/>
  <c r="B547" i="4"/>
  <c r="C547" i="4"/>
  <c r="G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E548" i="4"/>
  <c r="C548" i="4"/>
  <c r="G548" i="4"/>
  <c r="F548" i="4"/>
  <c r="D548" i="4"/>
  <c r="B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B549" i="4"/>
  <c r="E549" i="4"/>
  <c r="D549" i="4"/>
  <c r="C549" i="4"/>
  <c r="G549" i="4"/>
  <c r="F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F550" i="4"/>
  <c r="B550" i="4"/>
  <c r="G550" i="4"/>
  <c r="C550" i="4"/>
  <c r="D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E551" i="4"/>
  <c r="G551" i="4"/>
  <c r="D551" i="4"/>
  <c r="B551" i="4"/>
  <c r="F551" i="4"/>
  <c r="C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E552" i="4"/>
  <c r="F552" i="4"/>
  <c r="B552" i="4"/>
  <c r="G552" i="4"/>
  <c r="C552" i="4"/>
  <c r="D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B553" i="4"/>
  <c r="C553" i="4"/>
  <c r="G553" i="4"/>
  <c r="F553" i="4"/>
  <c r="D553" i="4"/>
  <c r="E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E554" i="4"/>
  <c r="F554" i="4"/>
  <c r="C554" i="4"/>
  <c r="G554" i="4"/>
  <c r="D554" i="4"/>
  <c r="B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F555" i="4"/>
  <c r="B555" i="4"/>
  <c r="G555" i="4"/>
  <c r="D555" i="4"/>
  <c r="C555" i="4"/>
  <c r="E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G556" i="4"/>
  <c r="C556" i="4"/>
  <c r="E556" i="4"/>
  <c r="D556" i="4"/>
  <c r="B556" i="4"/>
  <c r="F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F557" i="4"/>
  <c r="G557" i="4"/>
  <c r="D557" i="4"/>
  <c r="B557" i="4"/>
  <c r="C557" i="4"/>
  <c r="E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D558" i="4"/>
  <c r="F558" i="4"/>
  <c r="G558" i="4"/>
  <c r="E558" i="4"/>
  <c r="C558" i="4"/>
  <c r="B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F559" i="4"/>
  <c r="C559" i="4"/>
  <c r="G559" i="4"/>
  <c r="E559" i="4"/>
  <c r="D559" i="4"/>
  <c r="B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F560" i="4"/>
  <c r="G560" i="4"/>
  <c r="C560" i="4"/>
  <c r="B560" i="4"/>
  <c r="E560" i="4"/>
  <c r="D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B561" i="4"/>
  <c r="D561" i="4"/>
  <c r="C561" i="4"/>
  <c r="G561" i="4"/>
  <c r="E561" i="4"/>
  <c r="F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C562" i="4"/>
  <c r="B562" i="4"/>
  <c r="E562" i="4"/>
  <c r="G562" i="4"/>
  <c r="D562" i="4"/>
  <c r="F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E563" i="4"/>
  <c r="F563" i="4"/>
  <c r="B563" i="4"/>
  <c r="C563" i="4"/>
  <c r="G563" i="4"/>
  <c r="D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F564" i="4"/>
  <c r="D564" i="4"/>
  <c r="B564" i="4"/>
  <c r="E564" i="4"/>
  <c r="C564" i="4"/>
  <c r="G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B565" i="4"/>
  <c r="E565" i="4"/>
  <c r="F565" i="4"/>
  <c r="D565" i="4"/>
  <c r="C565" i="4"/>
  <c r="G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C566" i="4"/>
  <c r="E566" i="4"/>
  <c r="D566" i="4"/>
  <c r="G566" i="4"/>
  <c r="B566" i="4"/>
  <c r="F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D567" i="4"/>
  <c r="G567" i="4"/>
  <c r="B567" i="4"/>
  <c r="F567" i="4"/>
  <c r="E567" i="4"/>
  <c r="C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D568" i="4"/>
  <c r="C568" i="4"/>
  <c r="G568" i="4"/>
  <c r="F568" i="4"/>
  <c r="E568" i="4"/>
  <c r="B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D569" i="4"/>
  <c r="C569" i="4"/>
  <c r="B569" i="4"/>
  <c r="G569" i="4"/>
  <c r="F569" i="4"/>
  <c r="E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B570" i="4"/>
  <c r="G570" i="4"/>
  <c r="D570" i="4"/>
  <c r="C570" i="4"/>
  <c r="F570" i="4"/>
  <c r="E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D571" i="4"/>
  <c r="G571" i="4"/>
  <c r="F571" i="4"/>
  <c r="B571" i="4"/>
  <c r="C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D572" i="4"/>
  <c r="G572" i="4"/>
  <c r="C572" i="4"/>
  <c r="B572" i="4"/>
  <c r="E572" i="4"/>
  <c r="F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E573" i="4"/>
  <c r="F573" i="4"/>
  <c r="B573" i="4"/>
  <c r="D573" i="4"/>
  <c r="G573" i="4"/>
  <c r="C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G574" i="4"/>
  <c r="E574" i="4"/>
  <c r="C574" i="4"/>
  <c r="F574" i="4"/>
  <c r="D574" i="4"/>
  <c r="B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G575" i="4"/>
  <c r="D575" i="4"/>
  <c r="C575" i="4"/>
  <c r="F575" i="4"/>
  <c r="E575" i="4"/>
  <c r="B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G576" i="4"/>
  <c r="B576" i="4"/>
  <c r="F576" i="4"/>
  <c r="C576" i="4"/>
  <c r="E576" i="4"/>
  <c r="D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D577" i="4"/>
  <c r="G577" i="4"/>
  <c r="E577" i="4"/>
  <c r="F577" i="4"/>
  <c r="C577" i="4"/>
  <c r="B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C578" i="4"/>
  <c r="G578" i="4"/>
  <c r="D578" i="4"/>
  <c r="B578" i="4"/>
  <c r="E578" i="4"/>
  <c r="F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E579" i="4"/>
  <c r="F579" i="4"/>
  <c r="B579" i="4"/>
  <c r="D579" i="4"/>
  <c r="C579" i="4"/>
  <c r="G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E580" i="4"/>
  <c r="G580" i="4"/>
  <c r="C580" i="4"/>
  <c r="B580" i="4"/>
  <c r="D580" i="4"/>
  <c r="F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F581" i="4"/>
  <c r="E581" i="4"/>
  <c r="D581" i="4"/>
  <c r="C581" i="4"/>
  <c r="B581" i="4"/>
  <c r="G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D582" i="4"/>
  <c r="B582" i="4"/>
  <c r="F582" i="4"/>
  <c r="G582" i="4"/>
  <c r="C582" i="4"/>
  <c r="E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E583" i="4"/>
  <c r="D583" i="4"/>
  <c r="F583" i="4"/>
  <c r="C583" i="4"/>
  <c r="B583" i="4"/>
  <c r="G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E584" i="4"/>
  <c r="B584" i="4"/>
  <c r="D584" i="4"/>
  <c r="F584" i="4"/>
  <c r="G584" i="4"/>
  <c r="C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D585" i="4"/>
  <c r="F585" i="4"/>
  <c r="G585" i="4"/>
  <c r="E585" i="4"/>
  <c r="B585" i="4"/>
  <c r="C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E586" i="4"/>
  <c r="D586" i="4"/>
  <c r="C586" i="4"/>
  <c r="G586" i="4"/>
  <c r="F586" i="4"/>
  <c r="B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G587" i="4"/>
  <c r="F587" i="4"/>
  <c r="D587" i="4"/>
  <c r="E587" i="4"/>
  <c r="B587" i="4"/>
  <c r="C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D588" i="4"/>
  <c r="G588" i="4"/>
  <c r="B588" i="4"/>
  <c r="E588" i="4"/>
  <c r="C588" i="4"/>
  <c r="F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E589" i="4"/>
  <c r="D589" i="4"/>
  <c r="C589" i="4"/>
  <c r="G589" i="4"/>
  <c r="B589" i="4"/>
  <c r="F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D590" i="4"/>
  <c r="F590" i="4"/>
  <c r="C590" i="4"/>
  <c r="B590" i="4"/>
  <c r="G590" i="4"/>
  <c r="E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B591" i="4"/>
  <c r="F591" i="4"/>
  <c r="D591" i="4"/>
  <c r="G591" i="4"/>
  <c r="C591" i="4"/>
  <c r="E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F592" i="4"/>
  <c r="C592" i="4"/>
  <c r="B592" i="4"/>
  <c r="G592" i="4"/>
  <c r="D592" i="4"/>
  <c r="E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F593" i="4"/>
  <c r="G593" i="4"/>
  <c r="D593" i="4"/>
  <c r="C593" i="4"/>
  <c r="B593" i="4"/>
  <c r="E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B594" i="4"/>
  <c r="G594" i="4"/>
  <c r="E594" i="4"/>
  <c r="D594" i="4"/>
  <c r="F594" i="4"/>
  <c r="C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B595" i="4"/>
  <c r="C595" i="4"/>
  <c r="D595" i="4"/>
  <c r="G595" i="4"/>
  <c r="E595" i="4"/>
  <c r="F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G596" i="4"/>
  <c r="D596" i="4"/>
  <c r="C596" i="4"/>
  <c r="E596" i="4"/>
  <c r="F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E597" i="4"/>
  <c r="F597" i="4"/>
  <c r="B597" i="4"/>
  <c r="C597" i="4"/>
  <c r="D597" i="4"/>
  <c r="G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F598" i="4"/>
  <c r="G598" i="4"/>
  <c r="C598" i="4"/>
  <c r="B598" i="4"/>
  <c r="D598" i="4"/>
  <c r="E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F599" i="4"/>
  <c r="D599" i="4"/>
  <c r="B599" i="4"/>
  <c r="G599" i="4"/>
  <c r="E599" i="4"/>
  <c r="C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C600" i="4"/>
  <c r="B600" i="4"/>
  <c r="E600" i="4"/>
  <c r="F600" i="4"/>
  <c r="D600" i="4"/>
  <c r="G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F601" i="4"/>
  <c r="B601" i="4"/>
  <c r="D601" i="4"/>
  <c r="C601" i="4"/>
  <c r="E601" i="4"/>
  <c r="G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F602" i="4"/>
  <c r="B602" i="4"/>
  <c r="D602" i="4"/>
  <c r="C602" i="4"/>
  <c r="E602" i="4"/>
  <c r="G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D603" i="4"/>
  <c r="G603" i="4"/>
  <c r="F603" i="4"/>
  <c r="C603" i="4"/>
  <c r="B603" i="4"/>
  <c r="E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B604" i="4"/>
  <c r="D604" i="4"/>
  <c r="C604" i="4"/>
  <c r="F604" i="4"/>
  <c r="G604" i="4"/>
  <c r="E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E605" i="4"/>
  <c r="D605" i="4"/>
  <c r="F605" i="4"/>
  <c r="G605" i="4"/>
  <c r="C605" i="4"/>
  <c r="B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G606" i="4"/>
  <c r="C606" i="4"/>
  <c r="E606" i="4"/>
  <c r="B606" i="4"/>
  <c r="D606" i="4"/>
  <c r="F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G607" i="4"/>
  <c r="C607" i="4"/>
  <c r="D607" i="4"/>
  <c r="F607" i="4"/>
  <c r="B607" i="4"/>
  <c r="E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D608" i="4"/>
  <c r="E608" i="4"/>
  <c r="C608" i="4"/>
  <c r="G608" i="4"/>
  <c r="B608" i="4"/>
  <c r="F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E609" i="4"/>
  <c r="D609" i="4"/>
  <c r="G609" i="4"/>
  <c r="F609" i="4"/>
  <c r="C609" i="4"/>
  <c r="B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G610" i="4"/>
  <c r="C610" i="4"/>
  <c r="E610" i="4"/>
  <c r="F610" i="4"/>
  <c r="B610" i="4"/>
  <c r="D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G611" i="4"/>
  <c r="C611" i="4"/>
  <c r="B611" i="4"/>
  <c r="E611" i="4"/>
  <c r="F611" i="4"/>
  <c r="D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F612" i="4"/>
  <c r="C612" i="4"/>
  <c r="B612" i="4"/>
  <c r="G612" i="4"/>
  <c r="E612" i="4"/>
  <c r="D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C613" i="4"/>
  <c r="D613" i="4"/>
  <c r="B613" i="4"/>
  <c r="G613" i="4"/>
  <c r="E613" i="4"/>
  <c r="F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G614" i="4"/>
  <c r="C614" i="4"/>
  <c r="E614" i="4"/>
  <c r="F614" i="4"/>
  <c r="D614" i="4"/>
  <c r="B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E615" i="4"/>
  <c r="C615" i="4"/>
  <c r="G615" i="4"/>
  <c r="D615" i="4"/>
  <c r="F615" i="4"/>
  <c r="B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F616" i="4"/>
  <c r="G616" i="4"/>
  <c r="E616" i="4"/>
  <c r="C616" i="4"/>
  <c r="D616" i="4"/>
  <c r="B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F617" i="4"/>
  <c r="G617" i="4"/>
  <c r="C617" i="4"/>
  <c r="D617" i="4"/>
  <c r="B617" i="4"/>
  <c r="E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C618" i="4"/>
  <c r="G618" i="4"/>
  <c r="E618" i="4"/>
  <c r="F618" i="4"/>
  <c r="B618" i="4"/>
  <c r="D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C619" i="4"/>
  <c r="E619" i="4"/>
  <c r="B619" i="4"/>
  <c r="G619" i="4"/>
  <c r="D619" i="4"/>
  <c r="F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D620" i="4"/>
  <c r="E620" i="4"/>
  <c r="F620" i="4"/>
  <c r="B620" i="4"/>
  <c r="G620" i="4"/>
  <c r="C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B621" i="4"/>
  <c r="E621" i="4"/>
  <c r="F621" i="4"/>
  <c r="G621" i="4"/>
  <c r="C621" i="4"/>
  <c r="D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B622" i="4"/>
  <c r="E622" i="4"/>
  <c r="G622" i="4"/>
  <c r="D622" i="4"/>
  <c r="F622" i="4"/>
  <c r="C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C623" i="4"/>
  <c r="D623" i="4"/>
  <c r="F623" i="4"/>
  <c r="B623" i="4"/>
  <c r="E623" i="4"/>
  <c r="G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G624" i="4"/>
  <c r="F624" i="4"/>
  <c r="D624" i="4"/>
  <c r="C624" i="4"/>
  <c r="E624" i="4"/>
  <c r="B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G625" i="4"/>
  <c r="B625" i="4"/>
  <c r="E625" i="4"/>
  <c r="F625" i="4"/>
  <c r="D625" i="4"/>
  <c r="C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C626" i="4"/>
  <c r="D626" i="4"/>
  <c r="F626" i="4"/>
  <c r="E626" i="4"/>
  <c r="B626" i="4"/>
  <c r="G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B627" i="4"/>
  <c r="D627" i="4"/>
  <c r="G627" i="4"/>
  <c r="E627" i="4"/>
  <c r="C627" i="4"/>
  <c r="F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D628" i="4"/>
  <c r="F628" i="4"/>
  <c r="G628" i="4"/>
  <c r="C628" i="4"/>
  <c r="B628" i="4"/>
  <c r="E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F629" i="4"/>
  <c r="G629" i="4"/>
  <c r="D629" i="4"/>
  <c r="B629" i="4"/>
  <c r="E629" i="4"/>
  <c r="C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D630" i="4"/>
  <c r="G630" i="4"/>
  <c r="B630" i="4"/>
  <c r="C630" i="4"/>
  <c r="F630" i="4"/>
  <c r="E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D631" i="4"/>
  <c r="G631" i="4"/>
  <c r="B631" i="4"/>
  <c r="E631" i="4"/>
  <c r="F631" i="4"/>
  <c r="C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F632" i="4"/>
  <c r="D632" i="4"/>
  <c r="E632" i="4"/>
  <c r="C632" i="4"/>
  <c r="G632" i="4"/>
  <c r="B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C633" i="4"/>
  <c r="E633" i="4"/>
  <c r="F633" i="4"/>
  <c r="D633" i="4"/>
  <c r="B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C634" i="4"/>
  <c r="E634" i="4"/>
  <c r="D634" i="4"/>
  <c r="F634" i="4"/>
  <c r="B634" i="4"/>
  <c r="G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B635" i="4"/>
  <c r="D635" i="4"/>
  <c r="F635" i="4"/>
  <c r="E635" i="4"/>
  <c r="C635" i="4"/>
  <c r="G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D636" i="4"/>
  <c r="G636" i="4"/>
  <c r="B636" i="4"/>
  <c r="F636" i="4"/>
  <c r="C636" i="4"/>
  <c r="E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F637" i="4"/>
  <c r="G637" i="4"/>
  <c r="B637" i="4"/>
  <c r="D637" i="4"/>
  <c r="C637" i="4"/>
  <c r="E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D638" i="4"/>
  <c r="B638" i="4"/>
  <c r="G638" i="4"/>
  <c r="C638" i="4"/>
  <c r="E638" i="4"/>
  <c r="F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E639" i="4"/>
  <c r="F639" i="4"/>
  <c r="B639" i="4"/>
  <c r="G639" i="4"/>
  <c r="D639" i="4"/>
  <c r="C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C640" i="4"/>
  <c r="D640" i="4"/>
  <c r="B640" i="4"/>
  <c r="E640" i="4"/>
  <c r="F640" i="4"/>
  <c r="G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E641" i="4"/>
  <c r="G641" i="4"/>
  <c r="C641" i="4"/>
  <c r="F641" i="4"/>
  <c r="B641" i="4"/>
  <c r="D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C642" i="4"/>
  <c r="D642" i="4"/>
  <c r="F642" i="4"/>
  <c r="B642" i="4"/>
  <c r="G642" i="4"/>
  <c r="E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B643" i="4"/>
  <c r="D643" i="4"/>
  <c r="C643" i="4"/>
  <c r="F643" i="4"/>
  <c r="E643" i="4"/>
  <c r="G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B644" i="4"/>
  <c r="F644" i="4"/>
  <c r="D644" i="4"/>
  <c r="E644" i="4"/>
  <c r="C644" i="4"/>
  <c r="G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B645" i="4"/>
  <c r="G645" i="4"/>
  <c r="E645" i="4"/>
  <c r="D645" i="4"/>
  <c r="C645" i="4"/>
  <c r="F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D646" i="4"/>
  <c r="C646" i="4"/>
  <c r="B646" i="4"/>
  <c r="G646" i="4"/>
  <c r="F646" i="4"/>
  <c r="E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E647" i="4"/>
  <c r="C647" i="4"/>
  <c r="G647" i="4"/>
  <c r="F647" i="4"/>
  <c r="B647" i="4"/>
  <c r="D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F648" i="4"/>
  <c r="B648" i="4"/>
  <c r="E648" i="4"/>
  <c r="C648" i="4"/>
  <c r="D648" i="4"/>
  <c r="G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F649" i="4"/>
  <c r="C649" i="4"/>
  <c r="D649" i="4"/>
  <c r="G649" i="4"/>
  <c r="B649" i="4"/>
  <c r="E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C650" i="4"/>
  <c r="D650" i="4"/>
  <c r="E650" i="4"/>
  <c r="F650" i="4"/>
  <c r="G650" i="4"/>
  <c r="B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F651" i="4"/>
  <c r="G651" i="4"/>
  <c r="D651" i="4"/>
  <c r="B651" i="4"/>
  <c r="C651" i="4"/>
  <c r="E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D652" i="4"/>
  <c r="F652" i="4"/>
  <c r="C652" i="4"/>
  <c r="E652" i="4"/>
  <c r="G652" i="4"/>
  <c r="B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G653" i="4"/>
  <c r="B653" i="4"/>
  <c r="F653" i="4"/>
  <c r="C653" i="4"/>
  <c r="D653" i="4"/>
  <c r="E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F654" i="4"/>
  <c r="D654" i="4"/>
  <c r="E654" i="4"/>
  <c r="G654" i="4"/>
  <c r="C654" i="4"/>
  <c r="B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F655" i="4"/>
  <c r="E655" i="4"/>
  <c r="C655" i="4"/>
  <c r="G655" i="4"/>
  <c r="D655" i="4"/>
  <c r="B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F656" i="4"/>
  <c r="G656" i="4"/>
  <c r="B656" i="4"/>
  <c r="C656" i="4"/>
  <c r="D656" i="4"/>
  <c r="E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C657" i="4"/>
  <c r="B657" i="4"/>
  <c r="F657" i="4"/>
  <c r="E657" i="4"/>
  <c r="G657" i="4"/>
  <c r="D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G658" i="4"/>
  <c r="F658" i="4"/>
  <c r="B658" i="4"/>
  <c r="D658" i="4"/>
  <c r="C658" i="4"/>
  <c r="E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E659" i="4"/>
  <c r="D659" i="4"/>
  <c r="F659" i="4"/>
  <c r="C659" i="4"/>
  <c r="B659" i="4"/>
  <c r="G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G660" i="4"/>
  <c r="C660" i="4"/>
  <c r="F660" i="4"/>
  <c r="E660" i="4"/>
  <c r="D660" i="4"/>
  <c r="B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D661" i="4"/>
  <c r="F661" i="4"/>
  <c r="G661" i="4"/>
  <c r="B661" i="4"/>
  <c r="C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G662" i="4"/>
  <c r="E662" i="4"/>
  <c r="F662" i="4"/>
  <c r="B662" i="4"/>
  <c r="C662" i="4"/>
  <c r="D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C663" i="4"/>
  <c r="B663" i="4"/>
  <c r="D663" i="4"/>
  <c r="E663" i="4"/>
  <c r="G663" i="4"/>
  <c r="F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F664" i="4"/>
  <c r="G664" i="4"/>
  <c r="C664" i="4"/>
  <c r="D664" i="4"/>
  <c r="E664" i="4"/>
  <c r="B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F665" i="4"/>
  <c r="E665" i="4"/>
  <c r="D665" i="4"/>
  <c r="G665" i="4"/>
  <c r="C665" i="4"/>
  <c r="B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D666" i="4"/>
  <c r="C666" i="4"/>
  <c r="B666" i="4"/>
  <c r="F666" i="4"/>
  <c r="G666" i="4"/>
  <c r="E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D667" i="4"/>
  <c r="B667" i="4"/>
  <c r="G667" i="4"/>
  <c r="C667" i="4"/>
  <c r="F667" i="4"/>
  <c r="E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D668" i="4"/>
  <c r="B668" i="4"/>
  <c r="E668" i="4"/>
  <c r="C668" i="4"/>
  <c r="F668" i="4"/>
  <c r="G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F669" i="4"/>
  <c r="G669" i="4"/>
  <c r="D669" i="4"/>
  <c r="C669" i="4"/>
  <c r="B669" i="4"/>
  <c r="E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C670" i="4"/>
  <c r="B670" i="4"/>
  <c r="D670" i="4"/>
  <c r="F670" i="4"/>
  <c r="G670" i="4"/>
  <c r="E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E671" i="4"/>
  <c r="G671" i="4"/>
  <c r="F671" i="4"/>
  <c r="B671" i="4"/>
  <c r="D671" i="4"/>
  <c r="C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B672" i="4"/>
  <c r="E672" i="4"/>
  <c r="G672" i="4"/>
  <c r="F672" i="4"/>
  <c r="D672" i="4"/>
  <c r="C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E673" i="4"/>
  <c r="B673" i="4"/>
  <c r="C673" i="4"/>
  <c r="D673" i="4"/>
  <c r="F673" i="4"/>
  <c r="G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E674" i="4"/>
  <c r="B674" i="4"/>
  <c r="D674" i="4"/>
  <c r="F674" i="4"/>
  <c r="G674" i="4"/>
  <c r="C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D675" i="4"/>
  <c r="F675" i="4"/>
  <c r="E675" i="4"/>
  <c r="C675" i="4"/>
  <c r="B675" i="4"/>
  <c r="G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D676" i="4"/>
  <c r="C676" i="4"/>
  <c r="B676" i="4"/>
  <c r="G676" i="4"/>
  <c r="F676" i="4"/>
  <c r="E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C677" i="4"/>
  <c r="G677" i="4"/>
  <c r="D677" i="4"/>
  <c r="B677" i="4"/>
  <c r="E677" i="4"/>
  <c r="F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E678" i="4"/>
  <c r="F678" i="4"/>
  <c r="B678" i="4"/>
  <c r="G678" i="4"/>
  <c r="D678" i="4"/>
  <c r="C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C679" i="4"/>
  <c r="G679" i="4"/>
  <c r="D679" i="4"/>
  <c r="F679" i="4"/>
  <c r="B679" i="4"/>
  <c r="E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B680" i="4"/>
  <c r="G680" i="4"/>
  <c r="C680" i="4"/>
  <c r="F680" i="4"/>
  <c r="E680" i="4"/>
  <c r="D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C681" i="4"/>
  <c r="D681" i="4"/>
  <c r="B681" i="4"/>
  <c r="E681" i="4"/>
  <c r="F681" i="4"/>
  <c r="G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C682" i="4"/>
  <c r="G682" i="4"/>
  <c r="D682" i="4"/>
  <c r="E682" i="4"/>
  <c r="F682" i="4"/>
  <c r="B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D683" i="4"/>
  <c r="C683" i="4"/>
  <c r="E683" i="4"/>
  <c r="B683" i="4"/>
  <c r="F683" i="4"/>
  <c r="G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F684" i="4"/>
  <c r="E684" i="4"/>
  <c r="D684" i="4"/>
  <c r="G684" i="4"/>
  <c r="C684" i="4"/>
  <c r="B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B685" i="4"/>
  <c r="G685" i="4"/>
  <c r="E685" i="4"/>
  <c r="C685" i="4"/>
  <c r="F685" i="4"/>
  <c r="D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G686" i="4"/>
  <c r="E686" i="4"/>
  <c r="D686" i="4"/>
  <c r="C686" i="4"/>
  <c r="F686" i="4"/>
  <c r="B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F687" i="4"/>
  <c r="C687" i="4"/>
  <c r="B687" i="4"/>
  <c r="E687" i="4"/>
  <c r="G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F688" i="4"/>
  <c r="B688" i="4"/>
  <c r="G688" i="4"/>
  <c r="D688" i="4"/>
  <c r="E688" i="4"/>
  <c r="C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D689" i="4"/>
  <c r="E689" i="4"/>
  <c r="C689" i="4"/>
  <c r="F689" i="4"/>
  <c r="G689" i="4"/>
  <c r="B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G690" i="4"/>
  <c r="B690" i="4"/>
  <c r="C690" i="4"/>
  <c r="D690" i="4"/>
  <c r="F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F691" i="4"/>
  <c r="B691" i="4"/>
  <c r="G691" i="4"/>
  <c r="C691" i="4"/>
  <c r="E691" i="4"/>
  <c r="D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B692" i="4"/>
  <c r="F692" i="4"/>
  <c r="G692" i="4"/>
  <c r="D692" i="4"/>
  <c r="C692" i="4"/>
  <c r="E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F693" i="4"/>
  <c r="C693" i="4"/>
  <c r="G693" i="4"/>
  <c r="E693" i="4"/>
  <c r="B693" i="4"/>
  <c r="D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G694" i="4"/>
  <c r="C694" i="4"/>
  <c r="D694" i="4"/>
  <c r="B694" i="4"/>
  <c r="F694" i="4"/>
  <c r="E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B695" i="4"/>
  <c r="F695" i="4"/>
  <c r="C695" i="4"/>
  <c r="D695" i="4"/>
  <c r="G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C696" i="4"/>
  <c r="B696" i="4"/>
  <c r="F696" i="4"/>
  <c r="E696" i="4"/>
  <c r="G696" i="4"/>
  <c r="D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E697" i="4"/>
  <c r="G697" i="4"/>
  <c r="F697" i="4"/>
  <c r="B697" i="4"/>
  <c r="C697" i="4"/>
  <c r="D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E698" i="4"/>
  <c r="G698" i="4"/>
  <c r="B698" i="4"/>
  <c r="C698" i="4"/>
  <c r="D698" i="4"/>
  <c r="F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D699" i="4"/>
  <c r="E699" i="4"/>
  <c r="C699" i="4"/>
  <c r="F699" i="4"/>
  <c r="B699" i="4"/>
  <c r="G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D700" i="4"/>
  <c r="E700" i="4"/>
  <c r="B700" i="4"/>
  <c r="G700" i="4"/>
  <c r="C700" i="4"/>
  <c r="F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D701" i="4"/>
  <c r="E701" i="4"/>
  <c r="C701" i="4"/>
  <c r="G701" i="4"/>
  <c r="F701" i="4"/>
  <c r="B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C702" i="4"/>
  <c r="G702" i="4"/>
  <c r="B702" i="4"/>
  <c r="D702" i="4"/>
  <c r="E702" i="4"/>
  <c r="F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B703" i="4"/>
  <c r="C703" i="4"/>
  <c r="D703" i="4"/>
  <c r="E703" i="4"/>
  <c r="F703" i="4"/>
  <c r="G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B704" i="4"/>
  <c r="E704" i="4"/>
  <c r="G704" i="4"/>
  <c r="C704" i="4"/>
  <c r="D704" i="4"/>
  <c r="F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B705" i="4"/>
  <c r="F705" i="4"/>
  <c r="G705" i="4"/>
  <c r="E705" i="4"/>
  <c r="D705" i="4"/>
  <c r="C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B706" i="4"/>
  <c r="D706" i="4"/>
  <c r="C706" i="4"/>
  <c r="F706" i="4"/>
  <c r="G706" i="4"/>
  <c r="E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F707" i="4"/>
  <c r="E707" i="4"/>
  <c r="C707" i="4"/>
  <c r="G707" i="4"/>
  <c r="D707" i="4"/>
  <c r="B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F708" i="4"/>
  <c r="B708" i="4"/>
  <c r="G708" i="4"/>
  <c r="E708" i="4"/>
  <c r="D708" i="4"/>
  <c r="C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C709" i="4"/>
  <c r="G709" i="4"/>
  <c r="B709" i="4"/>
  <c r="F709" i="4"/>
  <c r="D709" i="4"/>
  <c r="E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C710" i="4"/>
  <c r="E710" i="4"/>
  <c r="G710" i="4"/>
  <c r="D710" i="4"/>
  <c r="F710" i="4"/>
  <c r="B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G711" i="4"/>
  <c r="F711" i="4"/>
  <c r="B711" i="4"/>
  <c r="C711" i="4"/>
  <c r="D711" i="4"/>
  <c r="E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B712" i="4"/>
  <c r="G712" i="4"/>
  <c r="E712" i="4"/>
  <c r="D712" i="4"/>
  <c r="F712" i="4"/>
  <c r="C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F713" i="4"/>
  <c r="B713" i="4"/>
  <c r="G713" i="4"/>
  <c r="E713" i="4"/>
  <c r="D713" i="4"/>
  <c r="C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C714" i="4"/>
  <c r="G714" i="4"/>
  <c r="E714" i="4"/>
  <c r="B714" i="4"/>
  <c r="D714" i="4"/>
  <c r="F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F715" i="4"/>
  <c r="C715" i="4"/>
  <c r="D715" i="4"/>
  <c r="E715" i="4"/>
  <c r="G715" i="4"/>
  <c r="B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D716" i="4"/>
  <c r="B716" i="4"/>
  <c r="G716" i="4"/>
  <c r="F716" i="4"/>
  <c r="C716" i="4"/>
  <c r="E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D717" i="4"/>
  <c r="C717" i="4"/>
  <c r="F717" i="4"/>
  <c r="G717" i="4"/>
  <c r="B717" i="4"/>
  <c r="E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F718" i="4"/>
  <c r="C718" i="4"/>
  <c r="G718" i="4"/>
  <c r="B718" i="4"/>
  <c r="D718" i="4"/>
  <c r="E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F719" i="4"/>
  <c r="B719" i="4"/>
  <c r="E719" i="4"/>
  <c r="D719" i="4"/>
  <c r="G719" i="4"/>
  <c r="C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G720" i="4"/>
  <c r="D720" i="4"/>
  <c r="E720" i="4"/>
  <c r="B720" i="4"/>
  <c r="C720" i="4"/>
  <c r="F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B721" i="4"/>
  <c r="C721" i="4"/>
  <c r="G721" i="4"/>
  <c r="F721" i="4"/>
  <c r="E721" i="4"/>
  <c r="D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E722" i="4"/>
  <c r="G722" i="4"/>
  <c r="D722" i="4"/>
  <c r="F722" i="4"/>
  <c r="B722" i="4"/>
  <c r="C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D723" i="4"/>
  <c r="C723" i="4"/>
  <c r="E723" i="4"/>
  <c r="B723" i="4"/>
  <c r="F723" i="4"/>
  <c r="G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C724" i="4"/>
  <c r="B724" i="4"/>
  <c r="E724" i="4"/>
  <c r="G724" i="4"/>
  <c r="D724" i="4"/>
  <c r="F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D725" i="4"/>
  <c r="B725" i="4"/>
  <c r="E725" i="4"/>
  <c r="F725" i="4"/>
  <c r="C725" i="4"/>
  <c r="G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E726" i="4"/>
  <c r="G726" i="4"/>
  <c r="F726" i="4"/>
  <c r="D726" i="4"/>
  <c r="B726" i="4"/>
  <c r="C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E727" i="4"/>
  <c r="D727" i="4"/>
  <c r="B727" i="4"/>
  <c r="F727" i="4"/>
  <c r="G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D728" i="4"/>
  <c r="E728" i="4"/>
  <c r="G728" i="4"/>
  <c r="C728" i="4"/>
  <c r="B728" i="4"/>
  <c r="F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C729" i="4"/>
  <c r="G729" i="4"/>
  <c r="F729" i="4"/>
  <c r="D729" i="4"/>
  <c r="B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G730" i="4"/>
  <c r="B730" i="4"/>
  <c r="F730" i="4"/>
  <c r="D730" i="4"/>
  <c r="E730" i="4"/>
  <c r="C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F731" i="4"/>
  <c r="B731" i="4"/>
  <c r="C731" i="4"/>
  <c r="D731" i="4"/>
  <c r="E731" i="4"/>
  <c r="G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E732" i="4"/>
  <c r="B732" i="4"/>
  <c r="F732" i="4"/>
  <c r="C732" i="4"/>
  <c r="G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D733" i="4"/>
  <c r="C733" i="4"/>
  <c r="G733" i="4"/>
  <c r="E733" i="4"/>
  <c r="B733" i="4"/>
  <c r="F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D734" i="4"/>
  <c r="B734" i="4"/>
  <c r="G734" i="4"/>
  <c r="E734" i="4"/>
  <c r="F734" i="4"/>
  <c r="C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D735" i="4"/>
  <c r="G735" i="4"/>
  <c r="F735" i="4"/>
  <c r="E735" i="4"/>
  <c r="B735" i="4"/>
  <c r="C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E736" i="4"/>
  <c r="D736" i="4"/>
  <c r="C736" i="4"/>
  <c r="F736" i="4"/>
  <c r="G736" i="4"/>
  <c r="B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F737" i="4"/>
  <c r="G737" i="4"/>
  <c r="C737" i="4"/>
  <c r="D737" i="4"/>
  <c r="E737" i="4"/>
  <c r="B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D738" i="4"/>
  <c r="B738" i="4"/>
  <c r="C738" i="4"/>
  <c r="F738" i="4"/>
  <c r="G738" i="4"/>
  <c r="E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E739" i="4"/>
  <c r="D739" i="4"/>
  <c r="G739" i="4"/>
  <c r="B739" i="4"/>
  <c r="C739" i="4"/>
  <c r="F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D740" i="4"/>
  <c r="G740" i="4"/>
  <c r="C740" i="4"/>
  <c r="E740" i="4"/>
  <c r="F740" i="4"/>
  <c r="B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E741" i="4"/>
  <c r="D741" i="4"/>
  <c r="G741" i="4"/>
  <c r="B741" i="4"/>
  <c r="F741" i="4"/>
  <c r="C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C742" i="4"/>
  <c r="D742" i="4"/>
  <c r="E742" i="4"/>
  <c r="F742" i="4"/>
  <c r="G742" i="4"/>
  <c r="B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B743" i="4"/>
  <c r="G743" i="4"/>
  <c r="F743" i="4"/>
  <c r="D743" i="4"/>
  <c r="E743" i="4"/>
  <c r="C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E744" i="4"/>
  <c r="C744" i="4"/>
  <c r="B744" i="4"/>
  <c r="G744" i="4"/>
  <c r="D744" i="4"/>
  <c r="F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C745" i="4"/>
  <c r="B745" i="4"/>
  <c r="D745" i="4"/>
  <c r="F745" i="4"/>
  <c r="E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G746" i="4"/>
  <c r="D746" i="4"/>
  <c r="C746" i="4"/>
  <c r="E746" i="4"/>
  <c r="B746" i="4"/>
  <c r="F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C747" i="4"/>
  <c r="E747" i="4"/>
  <c r="D747" i="4"/>
  <c r="B747" i="4"/>
  <c r="G747" i="4"/>
  <c r="F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E748" i="4"/>
  <c r="G748" i="4"/>
  <c r="F748" i="4"/>
  <c r="C748" i="4"/>
  <c r="B748" i="4"/>
  <c r="D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E749" i="4"/>
  <c r="G749" i="4"/>
  <c r="D749" i="4"/>
  <c r="C749" i="4"/>
  <c r="F749" i="4"/>
  <c r="B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F750" i="4"/>
  <c r="D750" i="4"/>
  <c r="C750" i="4"/>
  <c r="E750" i="4"/>
  <c r="G750" i="4"/>
  <c r="B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F751" i="4"/>
  <c r="B751" i="4"/>
  <c r="G751" i="4"/>
  <c r="C751" i="4"/>
  <c r="D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G752" i="4"/>
  <c r="C752" i="4"/>
  <c r="D752" i="4"/>
  <c r="F752" i="4"/>
  <c r="E752" i="4"/>
  <c r="B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F753" i="4"/>
  <c r="G753" i="4"/>
  <c r="D753" i="4"/>
  <c r="E753" i="4"/>
  <c r="B753" i="4"/>
  <c r="C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F754" i="4"/>
  <c r="C754" i="4"/>
  <c r="E754" i="4"/>
  <c r="B754" i="4"/>
  <c r="G754" i="4"/>
  <c r="D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E755" i="4"/>
  <c r="D755" i="4"/>
  <c r="F755" i="4"/>
  <c r="G755" i="4"/>
  <c r="C755" i="4"/>
  <c r="B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B756" i="4"/>
  <c r="E756" i="4"/>
  <c r="F756" i="4"/>
  <c r="C756" i="4"/>
  <c r="G756" i="4"/>
  <c r="D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G757" i="4"/>
  <c r="D757" i="4"/>
  <c r="B757" i="4"/>
  <c r="F757" i="4"/>
  <c r="E757" i="4"/>
  <c r="C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E758" i="4"/>
  <c r="F758" i="4"/>
  <c r="C758" i="4"/>
  <c r="D758" i="4"/>
  <c r="G758" i="4"/>
  <c r="B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C759" i="4"/>
  <c r="D759" i="4"/>
  <c r="B759" i="4"/>
  <c r="E759" i="4"/>
  <c r="G759" i="4"/>
  <c r="F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G760" i="4"/>
  <c r="D760" i="4"/>
  <c r="F760" i="4"/>
  <c r="B760" i="4"/>
  <c r="C760" i="4"/>
  <c r="E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B761" i="4"/>
  <c r="D761" i="4"/>
  <c r="F761" i="4"/>
  <c r="C761" i="4"/>
  <c r="G761" i="4"/>
  <c r="E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E762" i="4"/>
  <c r="G762" i="4"/>
  <c r="B762" i="4"/>
  <c r="D762" i="4"/>
  <c r="C762" i="4"/>
  <c r="F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F763" i="4"/>
  <c r="B763" i="4"/>
  <c r="G763" i="4"/>
  <c r="C763" i="4"/>
  <c r="E763" i="4"/>
  <c r="D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C764" i="4"/>
  <c r="D764" i="4"/>
  <c r="E764" i="4"/>
  <c r="G764" i="4"/>
  <c r="F764" i="4"/>
  <c r="B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B765" i="4"/>
  <c r="F765" i="4"/>
  <c r="C765" i="4"/>
  <c r="G765" i="4"/>
  <c r="D765" i="4"/>
  <c r="E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E766" i="4"/>
  <c r="C766" i="4"/>
  <c r="B766" i="4"/>
  <c r="D766" i="4"/>
  <c r="G766" i="4"/>
  <c r="F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E767" i="4"/>
  <c r="F767" i="4"/>
  <c r="D767" i="4"/>
  <c r="G767" i="4"/>
  <c r="C767" i="4"/>
  <c r="B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E768" i="4"/>
  <c r="D768" i="4"/>
  <c r="B768" i="4"/>
  <c r="F768" i="4"/>
  <c r="G768" i="4"/>
  <c r="C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B769" i="4"/>
  <c r="F769" i="4"/>
  <c r="C769" i="4"/>
  <c r="E769" i="4"/>
  <c r="D769" i="4"/>
  <c r="G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C770" i="4"/>
  <c r="E770" i="4"/>
  <c r="G770" i="4"/>
  <c r="D770" i="4"/>
  <c r="B770" i="4"/>
  <c r="F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B771" i="4"/>
  <c r="C771" i="4"/>
  <c r="G771" i="4"/>
  <c r="F771" i="4"/>
  <c r="E771" i="4"/>
  <c r="D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C772" i="4"/>
  <c r="G772" i="4"/>
  <c r="E772" i="4"/>
  <c r="D772" i="4"/>
  <c r="F772" i="4"/>
  <c r="B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F773" i="4"/>
  <c r="C773" i="4"/>
  <c r="E773" i="4"/>
  <c r="G773" i="4"/>
  <c r="B773" i="4"/>
  <c r="D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G774" i="4"/>
  <c r="C774" i="4"/>
  <c r="F774" i="4"/>
  <c r="B774" i="4"/>
  <c r="E774" i="4"/>
  <c r="D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C775" i="4"/>
  <c r="B775" i="4"/>
  <c r="F775" i="4"/>
  <c r="D775" i="4"/>
  <c r="G775" i="4"/>
  <c r="E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B776" i="4"/>
  <c r="G776" i="4"/>
  <c r="E776" i="4"/>
  <c r="F776" i="4"/>
  <c r="D776" i="4"/>
  <c r="C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B777" i="4"/>
  <c r="D777" i="4"/>
  <c r="E777" i="4"/>
  <c r="C777" i="4"/>
  <c r="G777" i="4"/>
  <c r="F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F778" i="4"/>
  <c r="E778" i="4"/>
  <c r="G778" i="4"/>
  <c r="D778" i="4"/>
  <c r="C778" i="4"/>
  <c r="B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D779" i="4"/>
  <c r="E779" i="4"/>
  <c r="G779" i="4"/>
  <c r="B779" i="4"/>
  <c r="F779" i="4"/>
  <c r="C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C780" i="4"/>
  <c r="B780" i="4"/>
  <c r="G780" i="4"/>
  <c r="E780" i="4"/>
  <c r="F780" i="4"/>
  <c r="D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D781" i="4"/>
  <c r="F781" i="4"/>
  <c r="G781" i="4"/>
  <c r="B781" i="4"/>
  <c r="E781" i="4"/>
  <c r="C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D782" i="4"/>
  <c r="G782" i="4"/>
  <c r="E782" i="4"/>
  <c r="C782" i="4"/>
  <c r="B782" i="4"/>
  <c r="F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B783" i="4"/>
  <c r="E783" i="4"/>
  <c r="F783" i="4"/>
  <c r="D783" i="4"/>
  <c r="G783" i="4"/>
  <c r="C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C784" i="4"/>
  <c r="B784" i="4"/>
  <c r="G784" i="4"/>
  <c r="D784" i="4"/>
  <c r="F784" i="4"/>
  <c r="E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B785" i="4"/>
  <c r="E785" i="4"/>
  <c r="C785" i="4"/>
  <c r="F785" i="4"/>
  <c r="G785" i="4"/>
  <c r="D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D786" i="4"/>
  <c r="B786" i="4"/>
  <c r="E786" i="4"/>
  <c r="C786" i="4"/>
  <c r="F786" i="4"/>
  <c r="G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D787" i="4"/>
  <c r="G787" i="4"/>
  <c r="F787" i="4"/>
  <c r="E787" i="4"/>
  <c r="B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E788" i="4"/>
  <c r="G788" i="4"/>
  <c r="B788" i="4"/>
  <c r="F788" i="4"/>
  <c r="D788" i="4"/>
  <c r="C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F789" i="4"/>
  <c r="D789" i="4"/>
  <c r="B789" i="4"/>
  <c r="G789" i="4"/>
  <c r="C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E790" i="4"/>
  <c r="F790" i="4"/>
  <c r="D790" i="4"/>
  <c r="G790" i="4"/>
  <c r="C790" i="4"/>
  <c r="B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C791" i="4"/>
  <c r="G791" i="4"/>
  <c r="B791" i="4"/>
  <c r="F791" i="4"/>
  <c r="E791" i="4"/>
  <c r="D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G792" i="4"/>
  <c r="C792" i="4"/>
  <c r="D792" i="4"/>
  <c r="F792" i="4"/>
  <c r="B792" i="4"/>
  <c r="E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C793" i="4"/>
  <c r="F793" i="4"/>
  <c r="D793" i="4"/>
  <c r="B793" i="4"/>
  <c r="G793" i="4"/>
  <c r="E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F794" i="4"/>
  <c r="D794" i="4"/>
  <c r="B794" i="4"/>
  <c r="C794" i="4"/>
  <c r="G794" i="4"/>
  <c r="E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C795" i="4"/>
  <c r="F795" i="4"/>
  <c r="D795" i="4"/>
  <c r="E795" i="4"/>
  <c r="B795" i="4"/>
  <c r="G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D796" i="4"/>
  <c r="F796" i="4"/>
  <c r="E796" i="4"/>
  <c r="G796" i="4"/>
  <c r="C796" i="4"/>
  <c r="B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B797" i="4"/>
  <c r="D797" i="4"/>
  <c r="C797" i="4"/>
  <c r="E797" i="4"/>
  <c r="G797" i="4"/>
  <c r="F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D798" i="4"/>
  <c r="G798" i="4"/>
  <c r="B798" i="4"/>
  <c r="C798" i="4"/>
  <c r="E798" i="4"/>
  <c r="F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D799" i="4"/>
  <c r="E799" i="4"/>
  <c r="F799" i="4"/>
  <c r="C799" i="4"/>
  <c r="G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C800" i="4"/>
  <c r="F800" i="4"/>
  <c r="B800" i="4"/>
  <c r="G800" i="4"/>
  <c r="E800" i="4"/>
  <c r="D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F801" i="4"/>
  <c r="G801" i="4"/>
  <c r="B801" i="4"/>
  <c r="C801" i="4"/>
  <c r="E801" i="4"/>
  <c r="D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D802" i="4"/>
  <c r="G802" i="4"/>
  <c r="C802" i="4"/>
  <c r="B802" i="4"/>
  <c r="F802" i="4"/>
  <c r="E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B803" i="4"/>
  <c r="G803" i="4"/>
  <c r="E803" i="4"/>
  <c r="F803" i="4"/>
  <c r="D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D804" i="4"/>
  <c r="G804" i="4"/>
  <c r="F804" i="4"/>
  <c r="E804" i="4"/>
  <c r="C804" i="4"/>
  <c r="B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E805" i="4"/>
  <c r="D805" i="4"/>
  <c r="F805" i="4"/>
  <c r="B805" i="4"/>
  <c r="C805" i="4"/>
  <c r="G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B806" i="4"/>
  <c r="F806" i="4"/>
  <c r="E806" i="4"/>
  <c r="C806" i="4"/>
  <c r="G806" i="4"/>
  <c r="D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E807" i="4"/>
  <c r="G807" i="4"/>
  <c r="C807" i="4"/>
  <c r="D807" i="4"/>
  <c r="B807" i="4"/>
  <c r="F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G808" i="4"/>
  <c r="F808" i="4"/>
  <c r="B808" i="4"/>
  <c r="E808" i="4"/>
  <c r="C808" i="4"/>
  <c r="D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E809" i="4"/>
  <c r="D809" i="4"/>
  <c r="C809" i="4"/>
  <c r="F809" i="4"/>
  <c r="G809" i="4"/>
  <c r="B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D810" i="4"/>
  <c r="G810" i="4"/>
  <c r="F810" i="4"/>
  <c r="C810" i="4"/>
  <c r="E810" i="4"/>
  <c r="B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G811" i="4"/>
  <c r="C811" i="4"/>
  <c r="D811" i="4"/>
  <c r="E811" i="4"/>
  <c r="F811" i="4"/>
  <c r="B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B812" i="4"/>
  <c r="G812" i="4"/>
  <c r="D812" i="4"/>
  <c r="F812" i="4"/>
  <c r="C812" i="4"/>
  <c r="E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E813" i="4"/>
  <c r="F813" i="4"/>
  <c r="G813" i="4"/>
  <c r="B813" i="4"/>
  <c r="D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C814" i="4"/>
  <c r="G814" i="4"/>
  <c r="F814" i="4"/>
  <c r="E814" i="4"/>
  <c r="B814" i="4"/>
  <c r="D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C815" i="4"/>
  <c r="F815" i="4"/>
  <c r="B815" i="4"/>
  <c r="D815" i="4"/>
  <c r="G815" i="4"/>
  <c r="E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D816" i="4"/>
  <c r="B816" i="4"/>
  <c r="G816" i="4"/>
  <c r="F816" i="4"/>
  <c r="E816" i="4"/>
  <c r="C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B817" i="4"/>
  <c r="E817" i="4"/>
  <c r="G817" i="4"/>
  <c r="F817" i="4"/>
  <c r="D817" i="4"/>
  <c r="C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B818" i="4"/>
  <c r="G818" i="4"/>
  <c r="C818" i="4"/>
  <c r="D818" i="4"/>
  <c r="E818" i="4"/>
  <c r="F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G819" i="4"/>
  <c r="E819" i="4"/>
  <c r="B819" i="4"/>
  <c r="D819" i="4"/>
  <c r="C819" i="4"/>
  <c r="F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D820" i="4"/>
  <c r="F820" i="4"/>
  <c r="E820" i="4"/>
  <c r="B820" i="4"/>
  <c r="G820" i="4"/>
  <c r="C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C821" i="4"/>
  <c r="B821" i="4"/>
  <c r="E821" i="4"/>
  <c r="G821" i="4"/>
  <c r="D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G822" i="4"/>
  <c r="E822" i="4"/>
  <c r="B822" i="4"/>
  <c r="C822" i="4"/>
  <c r="F822" i="4"/>
  <c r="D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C823" i="4"/>
  <c r="E823" i="4"/>
  <c r="F823" i="4"/>
  <c r="B823" i="4"/>
  <c r="G823" i="4"/>
  <c r="D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C824" i="4"/>
  <c r="E824" i="4"/>
  <c r="G824" i="4"/>
  <c r="D824" i="4"/>
  <c r="B824" i="4"/>
  <c r="F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F825" i="4"/>
  <c r="G825" i="4"/>
  <c r="C825" i="4"/>
  <c r="B825" i="4"/>
  <c r="E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F826" i="4"/>
  <c r="C826" i="4"/>
  <c r="E826" i="4"/>
  <c r="D826" i="4"/>
  <c r="B826" i="4"/>
  <c r="G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C827" i="4"/>
  <c r="F827" i="4"/>
  <c r="E827" i="4"/>
  <c r="G827" i="4"/>
  <c r="B827" i="4"/>
  <c r="D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C828" i="4"/>
  <c r="B828" i="4"/>
  <c r="F828" i="4"/>
  <c r="G828" i="4"/>
  <c r="E828" i="4"/>
  <c r="D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D829" i="4"/>
  <c r="F829" i="4"/>
  <c r="C829" i="4"/>
  <c r="G829" i="4"/>
  <c r="E829" i="4"/>
  <c r="B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E830" i="4"/>
  <c r="G830" i="4"/>
  <c r="B830" i="4"/>
  <c r="C830" i="4"/>
  <c r="F830" i="4"/>
  <c r="D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G831" i="4"/>
  <c r="D831" i="4"/>
  <c r="E831" i="4"/>
  <c r="C831" i="4"/>
  <c r="F831" i="4"/>
  <c r="B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E832" i="4"/>
  <c r="F832" i="4"/>
  <c r="D832" i="4"/>
  <c r="B832" i="4"/>
  <c r="G832" i="4"/>
  <c r="C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E833" i="4"/>
  <c r="C833" i="4"/>
  <c r="F833" i="4"/>
  <c r="G833" i="4"/>
  <c r="B833" i="4"/>
  <c r="D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E834" i="4"/>
  <c r="C834" i="4"/>
  <c r="B834" i="4"/>
  <c r="D834" i="4"/>
  <c r="G834" i="4"/>
  <c r="F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E835" i="4"/>
  <c r="G835" i="4"/>
  <c r="B835" i="4"/>
  <c r="D835" i="4"/>
  <c r="C835" i="4"/>
  <c r="F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E836" i="4"/>
  <c r="B836" i="4"/>
  <c r="C836" i="4"/>
  <c r="G836" i="4"/>
  <c r="F836" i="4"/>
  <c r="D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G837" i="4"/>
  <c r="F837" i="4"/>
  <c r="C837" i="4"/>
  <c r="D837" i="4"/>
  <c r="B837" i="4"/>
  <c r="E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E838" i="4"/>
  <c r="G838" i="4"/>
  <c r="F838" i="4"/>
  <c r="D838" i="4"/>
  <c r="C838" i="4"/>
  <c r="B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E839" i="4"/>
  <c r="B839" i="4"/>
  <c r="C839" i="4"/>
  <c r="F839" i="4"/>
  <c r="D839" i="4"/>
  <c r="G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C840" i="4"/>
  <c r="G840" i="4"/>
  <c r="F840" i="4"/>
  <c r="E840" i="4"/>
  <c r="D840" i="4"/>
  <c r="B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G841" i="4"/>
  <c r="B841" i="4"/>
  <c r="E841" i="4"/>
  <c r="D841" i="4"/>
  <c r="F841" i="4"/>
  <c r="C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G842" i="4"/>
  <c r="B842" i="4"/>
  <c r="E842" i="4"/>
  <c r="D842" i="4"/>
  <c r="C842" i="4"/>
  <c r="F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F843" i="4"/>
  <c r="B843" i="4"/>
  <c r="G843" i="4"/>
  <c r="D843" i="4"/>
  <c r="E843" i="4"/>
  <c r="C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F844" i="4"/>
  <c r="D844" i="4"/>
  <c r="G844" i="4"/>
  <c r="B844" i="4"/>
  <c r="E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D845" i="4"/>
  <c r="G845" i="4"/>
  <c r="C845" i="4"/>
  <c r="E845" i="4"/>
  <c r="B845" i="4"/>
  <c r="F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D846" i="4"/>
  <c r="C846" i="4"/>
  <c r="F846" i="4"/>
  <c r="E846" i="4"/>
  <c r="G846" i="4"/>
  <c r="B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E847" i="4"/>
  <c r="G847" i="4"/>
  <c r="C847" i="4"/>
  <c r="B847" i="4"/>
  <c r="F847" i="4"/>
  <c r="D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B848" i="4"/>
  <c r="G848" i="4"/>
  <c r="F848" i="4"/>
  <c r="E848" i="4"/>
  <c r="C848" i="4"/>
  <c r="D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C849" i="4"/>
  <c r="G849" i="4"/>
  <c r="D849" i="4"/>
  <c r="F849" i="4"/>
  <c r="B849" i="4"/>
  <c r="E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D850" i="4"/>
  <c r="C850" i="4"/>
  <c r="F850" i="4"/>
  <c r="E850" i="4"/>
  <c r="G850" i="4"/>
  <c r="B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F851" i="4"/>
  <c r="G851" i="4"/>
  <c r="E851" i="4"/>
  <c r="B851" i="4"/>
  <c r="D851" i="4"/>
  <c r="C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G852" i="4"/>
  <c r="C852" i="4"/>
  <c r="E852" i="4"/>
  <c r="F852" i="4"/>
  <c r="D852" i="4"/>
  <c r="B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G853" i="4"/>
  <c r="B853" i="4"/>
  <c r="C853" i="4"/>
  <c r="F853" i="4"/>
  <c r="D853" i="4"/>
  <c r="E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C854" i="4"/>
  <c r="B854" i="4"/>
  <c r="E854" i="4"/>
  <c r="F854" i="4"/>
  <c r="D854" i="4"/>
  <c r="G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B855" i="4"/>
  <c r="D855" i="4"/>
  <c r="F855" i="4"/>
  <c r="G855" i="4"/>
  <c r="C855" i="4"/>
  <c r="E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E856" i="4"/>
  <c r="G856" i="4"/>
  <c r="F856" i="4"/>
  <c r="B856" i="4"/>
  <c r="D856" i="4"/>
  <c r="C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B857" i="4"/>
  <c r="D857" i="4"/>
  <c r="C857" i="4"/>
  <c r="G857" i="4"/>
  <c r="E857" i="4"/>
  <c r="F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F858" i="4"/>
  <c r="B858" i="4"/>
  <c r="G858" i="4"/>
  <c r="D858" i="4"/>
  <c r="C858" i="4"/>
  <c r="E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D859" i="4"/>
  <c r="B859" i="4"/>
  <c r="G859" i="4"/>
  <c r="F859" i="4"/>
  <c r="E859" i="4"/>
  <c r="C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G860" i="4"/>
  <c r="B860" i="4"/>
  <c r="C860" i="4"/>
  <c r="F860" i="4"/>
  <c r="E860" i="4"/>
  <c r="D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C861" i="4"/>
  <c r="F861" i="4"/>
  <c r="B861" i="4"/>
  <c r="E861" i="4"/>
  <c r="G861" i="4"/>
  <c r="D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F862" i="4"/>
  <c r="C862" i="4"/>
  <c r="G862" i="4"/>
  <c r="D862" i="4"/>
  <c r="E862" i="4"/>
  <c r="B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D863" i="4"/>
  <c r="F863" i="4"/>
  <c r="B863" i="4"/>
  <c r="G863" i="4"/>
  <c r="E863" i="4"/>
  <c r="C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C864" i="4"/>
  <c r="D864" i="4"/>
  <c r="B864" i="4"/>
  <c r="E864" i="4"/>
  <c r="G864" i="4"/>
  <c r="F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D865" i="4"/>
  <c r="E865" i="4"/>
  <c r="B865" i="4"/>
  <c r="C865" i="4"/>
  <c r="G865" i="4"/>
  <c r="F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F866" i="4"/>
  <c r="C866" i="4"/>
  <c r="D866" i="4"/>
  <c r="G866" i="4"/>
  <c r="B866" i="4"/>
  <c r="E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C867" i="4"/>
  <c r="E867" i="4"/>
  <c r="D867" i="4"/>
  <c r="B867" i="4"/>
  <c r="G867" i="4"/>
  <c r="F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E868" i="4"/>
  <c r="C868" i="4"/>
  <c r="F868" i="4"/>
  <c r="G868" i="4"/>
  <c r="D868" i="4"/>
  <c r="B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D869" i="4"/>
  <c r="F869" i="4"/>
  <c r="E869" i="4"/>
  <c r="C869" i="4"/>
  <c r="B869" i="4"/>
  <c r="G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E870" i="4"/>
  <c r="C870" i="4"/>
  <c r="B870" i="4"/>
  <c r="G870" i="4"/>
  <c r="D870" i="4"/>
  <c r="F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B871" i="4"/>
  <c r="D871" i="4"/>
  <c r="G871" i="4"/>
  <c r="C871" i="4"/>
  <c r="F871" i="4"/>
  <c r="E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E872" i="4"/>
  <c r="B872" i="4"/>
  <c r="G872" i="4"/>
  <c r="D872" i="4"/>
  <c r="C872" i="4"/>
  <c r="F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D873" i="4"/>
  <c r="B873" i="4"/>
  <c r="G873" i="4"/>
  <c r="C873" i="4"/>
  <c r="E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E874" i="4"/>
  <c r="D874" i="4"/>
  <c r="F874" i="4"/>
  <c r="B874" i="4"/>
  <c r="C874" i="4"/>
  <c r="G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D875" i="4"/>
  <c r="C875" i="4"/>
  <c r="B875" i="4"/>
  <c r="F875" i="4"/>
  <c r="E875" i="4"/>
  <c r="G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B876" i="4"/>
  <c r="E876" i="4"/>
  <c r="F876" i="4"/>
  <c r="D876" i="4"/>
  <c r="C876" i="4"/>
  <c r="G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C877" i="4"/>
  <c r="F877" i="4"/>
  <c r="G877" i="4"/>
  <c r="E877" i="4"/>
  <c r="D877" i="4"/>
  <c r="B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C878" i="4"/>
  <c r="G878" i="4"/>
  <c r="D878" i="4"/>
  <c r="B878" i="4"/>
  <c r="F878" i="4"/>
  <c r="E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B879" i="4"/>
  <c r="F879" i="4"/>
  <c r="E879" i="4"/>
  <c r="D879" i="4"/>
  <c r="C879" i="4"/>
  <c r="G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B880" i="4"/>
  <c r="F880" i="4"/>
  <c r="E880" i="4"/>
  <c r="C880" i="4"/>
  <c r="G880" i="4"/>
  <c r="D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D881" i="4"/>
  <c r="F881" i="4"/>
  <c r="E881" i="4"/>
  <c r="G881" i="4"/>
  <c r="C881" i="4"/>
  <c r="B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F882" i="4"/>
  <c r="G882" i="4"/>
  <c r="E882" i="4"/>
  <c r="D882" i="4"/>
  <c r="C882" i="4"/>
  <c r="B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F883" i="4"/>
  <c r="G883" i="4"/>
  <c r="E883" i="4"/>
  <c r="D883" i="4"/>
  <c r="C883" i="4"/>
  <c r="B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D884" i="4"/>
  <c r="C884" i="4"/>
  <c r="B884" i="4"/>
  <c r="F884" i="4"/>
  <c r="E884" i="4"/>
  <c r="G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B885" i="4"/>
  <c r="E885" i="4"/>
  <c r="C885" i="4"/>
  <c r="G885" i="4"/>
  <c r="D885" i="4"/>
  <c r="F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E886" i="4"/>
  <c r="G886" i="4"/>
  <c r="C886" i="4"/>
  <c r="D886" i="4"/>
  <c r="F886" i="4"/>
  <c r="B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F887" i="4"/>
  <c r="B887" i="4"/>
  <c r="C887" i="4"/>
  <c r="G887" i="4"/>
  <c r="E887" i="4"/>
  <c r="D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B888" i="4"/>
  <c r="F888" i="4"/>
  <c r="D888" i="4"/>
  <c r="C888" i="4"/>
  <c r="G888" i="4"/>
  <c r="E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B889" i="4"/>
  <c r="C889" i="4"/>
  <c r="F889" i="4"/>
  <c r="E889" i="4"/>
  <c r="D889" i="4"/>
  <c r="G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F890" i="4"/>
  <c r="B890" i="4"/>
  <c r="E890" i="4"/>
  <c r="D890" i="4"/>
  <c r="G890" i="4"/>
  <c r="C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C891" i="4"/>
  <c r="F891" i="4"/>
  <c r="D891" i="4"/>
  <c r="B891" i="4"/>
  <c r="G891" i="4"/>
  <c r="E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D892" i="4"/>
  <c r="C892" i="4"/>
  <c r="E892" i="4"/>
  <c r="B892" i="4"/>
  <c r="G892" i="4"/>
  <c r="F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B893" i="4"/>
  <c r="G893" i="4"/>
  <c r="C893" i="4"/>
  <c r="D893" i="4"/>
  <c r="E893" i="4"/>
  <c r="F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D894" i="4"/>
  <c r="C894" i="4"/>
  <c r="G894" i="4"/>
  <c r="B894" i="4"/>
  <c r="F894" i="4"/>
  <c r="E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B895" i="4"/>
  <c r="D895" i="4"/>
  <c r="C895" i="4"/>
  <c r="E895" i="4"/>
  <c r="F895" i="4"/>
  <c r="G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E896" i="4"/>
  <c r="D896" i="4"/>
  <c r="B896" i="4"/>
  <c r="F896" i="4"/>
  <c r="G896" i="4"/>
  <c r="C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B897" i="4"/>
  <c r="G897" i="4"/>
  <c r="D897" i="4"/>
  <c r="E897" i="4"/>
  <c r="F897" i="4"/>
  <c r="C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G898" i="4"/>
  <c r="F898" i="4"/>
  <c r="B898" i="4"/>
  <c r="C898" i="4"/>
  <c r="E898" i="4"/>
  <c r="D898" i="4"/>
  <c r="E895" i="6" l="1"/>
  <c r="F895" i="6" s="1"/>
  <c r="D896" i="8" s="1"/>
  <c r="B897" i="6"/>
  <c r="C897" i="6" s="1"/>
  <c r="D897" i="6" s="1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H898" i="4"/>
  <c r="I898" i="4"/>
  <c r="A898" i="6"/>
  <c r="A899" i="8" s="1"/>
  <c r="E899" i="4"/>
  <c r="G899" i="4"/>
  <c r="D899" i="4"/>
  <c r="C899" i="4"/>
  <c r="B899" i="4"/>
  <c r="F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F900" i="4"/>
  <c r="B900" i="4"/>
  <c r="C900" i="4"/>
  <c r="E900" i="4"/>
  <c r="G900" i="4"/>
  <c r="D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D901" i="4"/>
  <c r="E901" i="4"/>
  <c r="G901" i="4"/>
  <c r="C901" i="4"/>
  <c r="B901" i="4"/>
  <c r="F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G902" i="4"/>
  <c r="E902" i="4"/>
  <c r="B902" i="4"/>
  <c r="D902" i="4"/>
  <c r="F902" i="4"/>
  <c r="C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G903" i="4"/>
  <c r="E903" i="4"/>
  <c r="B903" i="4"/>
  <c r="C903" i="4"/>
  <c r="D903" i="4"/>
  <c r="F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C904" i="4"/>
  <c r="G904" i="4"/>
  <c r="E904" i="4"/>
  <c r="B904" i="4"/>
  <c r="F904" i="4"/>
  <c r="D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C905" i="4"/>
  <c r="G905" i="4"/>
  <c r="D905" i="4"/>
  <c r="E905" i="4"/>
  <c r="B905" i="4"/>
  <c r="F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E906" i="4"/>
  <c r="D906" i="4"/>
  <c r="B906" i="4"/>
  <c r="F906" i="4"/>
  <c r="C906" i="4"/>
  <c r="G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D907" i="4"/>
  <c r="F907" i="4"/>
  <c r="E907" i="4"/>
  <c r="G907" i="4"/>
  <c r="B907" i="4"/>
  <c r="C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C908" i="4"/>
  <c r="E908" i="4"/>
  <c r="G908" i="4"/>
  <c r="B908" i="4"/>
  <c r="F908" i="4"/>
  <c r="D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F909" i="4"/>
  <c r="B909" i="4"/>
  <c r="G909" i="4"/>
  <c r="C909" i="4"/>
  <c r="D909" i="4"/>
  <c r="E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E910" i="4"/>
  <c r="B910" i="4"/>
  <c r="G910" i="4"/>
  <c r="C910" i="4"/>
  <c r="F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G911" i="4"/>
  <c r="C911" i="4"/>
  <c r="D911" i="4"/>
  <c r="E911" i="4"/>
  <c r="F911" i="4"/>
  <c r="B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E912" i="4"/>
  <c r="G912" i="4"/>
  <c r="F912" i="4"/>
  <c r="C912" i="4"/>
  <c r="D912" i="4"/>
  <c r="B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G913" i="4"/>
  <c r="B913" i="4"/>
  <c r="C913" i="4"/>
  <c r="E913" i="4"/>
  <c r="D913" i="4"/>
  <c r="F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B914" i="4"/>
  <c r="E914" i="4"/>
  <c r="F914" i="4"/>
  <c r="C914" i="4"/>
  <c r="G914" i="4"/>
  <c r="D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F915" i="4"/>
  <c r="C915" i="4"/>
  <c r="G915" i="4"/>
  <c r="D915" i="4"/>
  <c r="B915" i="4"/>
  <c r="E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F916" i="4"/>
  <c r="C916" i="4"/>
  <c r="E916" i="4"/>
  <c r="D916" i="4"/>
  <c r="B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B917" i="4"/>
  <c r="E917" i="4"/>
  <c r="G917" i="4"/>
  <c r="D917" i="4"/>
  <c r="C917" i="4"/>
  <c r="F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C918" i="4"/>
  <c r="D918" i="4"/>
  <c r="E918" i="4"/>
  <c r="F918" i="4"/>
  <c r="G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D919" i="4"/>
  <c r="B919" i="4"/>
  <c r="F919" i="4"/>
  <c r="E919" i="4"/>
  <c r="G919" i="4"/>
  <c r="C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G920" i="4"/>
  <c r="E920" i="4"/>
  <c r="F920" i="4"/>
  <c r="D920" i="4"/>
  <c r="C920" i="4"/>
  <c r="B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D921" i="4"/>
  <c r="C921" i="4"/>
  <c r="E921" i="4"/>
  <c r="B921" i="4"/>
  <c r="F921" i="4"/>
  <c r="G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D922" i="4"/>
  <c r="G922" i="4"/>
  <c r="E922" i="4"/>
  <c r="F922" i="4"/>
  <c r="C922" i="4"/>
  <c r="B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F923" i="4"/>
  <c r="E923" i="4"/>
  <c r="G923" i="4"/>
  <c r="C923" i="4"/>
  <c r="D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D924" i="4"/>
  <c r="C924" i="4"/>
  <c r="G924" i="4"/>
  <c r="F924" i="4"/>
  <c r="E924" i="4"/>
  <c r="B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E925" i="4"/>
  <c r="C925" i="4"/>
  <c r="D925" i="4"/>
  <c r="F925" i="4"/>
  <c r="G925" i="4"/>
  <c r="B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D926" i="4"/>
  <c r="G926" i="4"/>
  <c r="C926" i="4"/>
  <c r="E926" i="4"/>
  <c r="B926" i="4"/>
  <c r="F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G927" i="4"/>
  <c r="F927" i="4"/>
  <c r="C927" i="4"/>
  <c r="D927" i="4"/>
  <c r="E927" i="4"/>
  <c r="B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E928" i="4"/>
  <c r="D928" i="4"/>
  <c r="C928" i="4"/>
  <c r="F928" i="4"/>
  <c r="G928" i="4"/>
  <c r="B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D929" i="4"/>
  <c r="C929" i="4"/>
  <c r="G929" i="4"/>
  <c r="E929" i="4"/>
  <c r="F929" i="4"/>
  <c r="B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D930" i="4"/>
  <c r="G930" i="4"/>
  <c r="E930" i="4"/>
  <c r="F930" i="4"/>
  <c r="C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C931" i="4"/>
  <c r="F931" i="4"/>
  <c r="D931" i="4"/>
  <c r="B931" i="4"/>
  <c r="E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C932" i="4"/>
  <c r="G932" i="4"/>
  <c r="E932" i="4"/>
  <c r="F932" i="4"/>
  <c r="D932" i="4"/>
  <c r="B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C933" i="4"/>
  <c r="F933" i="4"/>
  <c r="B933" i="4"/>
  <c r="D933" i="4"/>
  <c r="G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C934" i="4"/>
  <c r="E934" i="4"/>
  <c r="B934" i="4"/>
  <c r="D934" i="4"/>
  <c r="F934" i="4"/>
  <c r="G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E935" i="4"/>
  <c r="D935" i="4"/>
  <c r="B935" i="4"/>
  <c r="C935" i="4"/>
  <c r="F935" i="4"/>
  <c r="G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F936" i="4"/>
  <c r="E936" i="4"/>
  <c r="C936" i="4"/>
  <c r="D936" i="4"/>
  <c r="G936" i="4"/>
  <c r="B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B937" i="4"/>
  <c r="D937" i="4"/>
  <c r="E937" i="4"/>
  <c r="G937" i="4"/>
  <c r="C937" i="4"/>
  <c r="F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D938" i="4"/>
  <c r="G938" i="4"/>
  <c r="F938" i="4"/>
  <c r="B938" i="4"/>
  <c r="C938" i="4"/>
  <c r="E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G939" i="4"/>
  <c r="B939" i="4"/>
  <c r="D939" i="4"/>
  <c r="C939" i="4"/>
  <c r="F939" i="4"/>
  <c r="E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B940" i="4"/>
  <c r="F940" i="4"/>
  <c r="G940" i="4"/>
  <c r="D940" i="4"/>
  <c r="C940" i="4"/>
  <c r="E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D941" i="4"/>
  <c r="F941" i="4"/>
  <c r="G941" i="4"/>
  <c r="C941" i="4"/>
  <c r="B941" i="4"/>
  <c r="E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E942" i="4"/>
  <c r="D942" i="4"/>
  <c r="B942" i="4"/>
  <c r="C942" i="4"/>
  <c r="F942" i="4"/>
  <c r="G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G943" i="4"/>
  <c r="D943" i="4"/>
  <c r="B943" i="4"/>
  <c r="E943" i="4"/>
  <c r="C943" i="4"/>
  <c r="F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E944" i="4"/>
  <c r="G944" i="4"/>
  <c r="F944" i="4"/>
  <c r="C944" i="4"/>
  <c r="D944" i="4"/>
  <c r="B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C945" i="4"/>
  <c r="B945" i="4"/>
  <c r="E945" i="4"/>
  <c r="D945" i="4"/>
  <c r="F945" i="4"/>
  <c r="G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C946" i="4"/>
  <c r="D946" i="4"/>
  <c r="F946" i="4"/>
  <c r="G946" i="4"/>
  <c r="E946" i="4"/>
  <c r="B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C947" i="4"/>
  <c r="E947" i="4"/>
  <c r="F947" i="4"/>
  <c r="G947" i="4"/>
  <c r="B947" i="4"/>
  <c r="D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E948" i="4"/>
  <c r="G948" i="4"/>
  <c r="C948" i="4"/>
  <c r="B948" i="4"/>
  <c r="F948" i="4"/>
  <c r="D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D949" i="4"/>
  <c r="B949" i="4"/>
  <c r="G949" i="4"/>
  <c r="C949" i="4"/>
  <c r="E949" i="4"/>
  <c r="F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B950" i="4"/>
  <c r="D950" i="4"/>
  <c r="C950" i="4"/>
  <c r="G950" i="4"/>
  <c r="F950" i="4"/>
  <c r="E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D951" i="4"/>
  <c r="C951" i="4"/>
  <c r="E951" i="4"/>
  <c r="B951" i="4"/>
  <c r="F951" i="4"/>
  <c r="G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E952" i="4"/>
  <c r="D952" i="4"/>
  <c r="B952" i="4"/>
  <c r="G952" i="4"/>
  <c r="C952" i="4"/>
  <c r="F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G953" i="4"/>
  <c r="E953" i="4"/>
  <c r="D953" i="4"/>
  <c r="B953" i="4"/>
  <c r="F953" i="4"/>
  <c r="C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D954" i="4"/>
  <c r="F954" i="4"/>
  <c r="C954" i="4"/>
  <c r="G954" i="4"/>
  <c r="B954" i="4"/>
  <c r="E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C955" i="4"/>
  <c r="G955" i="4"/>
  <c r="B955" i="4"/>
  <c r="F955" i="4"/>
  <c r="D955" i="4"/>
  <c r="E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B956" i="4"/>
  <c r="E956" i="4"/>
  <c r="C956" i="4"/>
  <c r="D956" i="4"/>
  <c r="F956" i="4"/>
  <c r="G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G957" i="4"/>
  <c r="D957" i="4"/>
  <c r="C957" i="4"/>
  <c r="B957" i="4"/>
  <c r="F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E958" i="4"/>
  <c r="C958" i="4"/>
  <c r="F958" i="4"/>
  <c r="D958" i="4"/>
  <c r="B958" i="4"/>
  <c r="G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B959" i="4"/>
  <c r="G959" i="4"/>
  <c r="F959" i="4"/>
  <c r="E959" i="4"/>
  <c r="C959" i="4"/>
  <c r="D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C960" i="4"/>
  <c r="D960" i="4"/>
  <c r="E960" i="4"/>
  <c r="G960" i="4"/>
  <c r="B960" i="4"/>
  <c r="F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D961" i="4"/>
  <c r="E961" i="4"/>
  <c r="B961" i="4"/>
  <c r="C961" i="4"/>
  <c r="F961" i="4"/>
  <c r="G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C962" i="4"/>
  <c r="D962" i="4"/>
  <c r="E962" i="4"/>
  <c r="F962" i="4"/>
  <c r="G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B963" i="4"/>
  <c r="E963" i="4"/>
  <c r="D963" i="4"/>
  <c r="F963" i="4"/>
  <c r="C963" i="4"/>
  <c r="G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F964" i="4"/>
  <c r="E964" i="4"/>
  <c r="B964" i="4"/>
  <c r="G964" i="4"/>
  <c r="D964" i="4"/>
  <c r="C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C965" i="4"/>
  <c r="F965" i="4"/>
  <c r="B965" i="4"/>
  <c r="G965" i="4"/>
  <c r="E965" i="4"/>
  <c r="D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E966" i="4"/>
  <c r="C966" i="4"/>
  <c r="B966" i="4"/>
  <c r="F966" i="4"/>
  <c r="D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D967" i="4"/>
  <c r="B967" i="4"/>
  <c r="G967" i="4"/>
  <c r="C967" i="4"/>
  <c r="E967" i="4"/>
  <c r="F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D968" i="4"/>
  <c r="G968" i="4"/>
  <c r="B968" i="4"/>
  <c r="C968" i="4"/>
  <c r="E968" i="4"/>
  <c r="F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D969" i="4"/>
  <c r="C969" i="4"/>
  <c r="B969" i="4"/>
  <c r="E969" i="4"/>
  <c r="G969" i="4"/>
  <c r="F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C970" i="4"/>
  <c r="D970" i="4"/>
  <c r="B970" i="4"/>
  <c r="F970" i="4"/>
  <c r="E970" i="4"/>
  <c r="G970" i="4"/>
  <c r="B969" i="6" l="1"/>
  <c r="C969" i="6" s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F966" i="8"/>
  <c r="E966" i="8"/>
  <c r="G966" i="8" s="1"/>
  <c r="I970" i="4"/>
  <c r="H970" i="4"/>
  <c r="A970" i="6"/>
  <c r="A971" i="8" s="1"/>
  <c r="G971" i="4"/>
  <c r="F971" i="4"/>
  <c r="C971" i="4"/>
  <c r="D971" i="4"/>
  <c r="B971" i="4"/>
  <c r="E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F972" i="4"/>
  <c r="E972" i="4"/>
  <c r="G972" i="4"/>
  <c r="C972" i="4"/>
  <c r="B972" i="4"/>
  <c r="D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C973" i="4"/>
  <c r="E973" i="4"/>
  <c r="F973" i="4"/>
  <c r="G973" i="4"/>
  <c r="B973" i="4"/>
  <c r="D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F974" i="4"/>
  <c r="D974" i="4"/>
  <c r="G974" i="4"/>
  <c r="B974" i="4"/>
  <c r="E974" i="4"/>
  <c r="C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F975" i="4"/>
  <c r="B975" i="4"/>
  <c r="C975" i="4"/>
  <c r="G975" i="4"/>
  <c r="E975" i="4"/>
  <c r="D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D976" i="4"/>
  <c r="G976" i="4"/>
  <c r="B976" i="4"/>
  <c r="C976" i="4"/>
  <c r="F976" i="4"/>
  <c r="E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B977" i="4"/>
  <c r="C977" i="4"/>
  <c r="E977" i="4"/>
  <c r="D977" i="4"/>
  <c r="G977" i="4"/>
  <c r="F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C978" i="4"/>
  <c r="F978" i="4"/>
  <c r="G978" i="4"/>
  <c r="B978" i="4"/>
  <c r="E978" i="4"/>
  <c r="D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B979" i="4"/>
  <c r="C979" i="4"/>
  <c r="F979" i="4"/>
  <c r="D979" i="4"/>
  <c r="G979" i="4"/>
  <c r="E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F980" i="4"/>
  <c r="C980" i="4"/>
  <c r="B980" i="4"/>
  <c r="G980" i="4"/>
  <c r="D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D981" i="4"/>
  <c r="F981" i="4"/>
  <c r="G981" i="4"/>
  <c r="E981" i="4"/>
  <c r="B981" i="4"/>
  <c r="C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C982" i="4"/>
  <c r="D982" i="4"/>
  <c r="B982" i="4"/>
  <c r="E982" i="4"/>
  <c r="F982" i="4"/>
  <c r="G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F983" i="4"/>
  <c r="B983" i="4"/>
  <c r="E983" i="4"/>
  <c r="C983" i="4"/>
  <c r="G983" i="4"/>
  <c r="D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E984" i="4"/>
  <c r="F984" i="4"/>
  <c r="C984" i="4"/>
  <c r="D984" i="4"/>
  <c r="B984" i="4"/>
  <c r="G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C985" i="4"/>
  <c r="D985" i="4"/>
  <c r="G985" i="4"/>
  <c r="E985" i="4"/>
  <c r="B985" i="4"/>
  <c r="F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F986" i="4"/>
  <c r="E986" i="4"/>
  <c r="D986" i="4"/>
  <c r="B986" i="4"/>
  <c r="G986" i="4"/>
  <c r="C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G987" i="4"/>
  <c r="C987" i="4"/>
  <c r="D987" i="4"/>
  <c r="E987" i="4"/>
  <c r="F987" i="4"/>
  <c r="B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C988" i="4"/>
  <c r="E988" i="4"/>
  <c r="D988" i="4"/>
  <c r="B988" i="4"/>
  <c r="G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F989" i="4"/>
  <c r="G989" i="4"/>
  <c r="D989" i="4"/>
  <c r="E989" i="4"/>
  <c r="C989" i="4"/>
  <c r="B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F990" i="4"/>
  <c r="E990" i="4"/>
  <c r="C990" i="4"/>
  <c r="B990" i="4"/>
  <c r="G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D991" i="4"/>
  <c r="G991" i="4"/>
  <c r="C991" i="4"/>
  <c r="E991" i="4"/>
  <c r="B991" i="4"/>
  <c r="F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B992" i="4"/>
  <c r="G992" i="4"/>
  <c r="E992" i="4"/>
  <c r="C992" i="4"/>
  <c r="D992" i="4"/>
  <c r="F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E993" i="4"/>
  <c r="F993" i="4"/>
  <c r="B993" i="4"/>
  <c r="D993" i="4"/>
  <c r="C993" i="4"/>
  <c r="G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F994" i="4"/>
  <c r="E994" i="4"/>
  <c r="C994" i="4"/>
  <c r="B994" i="4"/>
  <c r="G994" i="4"/>
  <c r="D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C995" i="4"/>
  <c r="E995" i="4"/>
  <c r="G995" i="4"/>
  <c r="F995" i="4"/>
  <c r="D995" i="4"/>
  <c r="B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B996" i="4"/>
  <c r="E996" i="4"/>
  <c r="F996" i="4"/>
  <c r="G996" i="4"/>
  <c r="C996" i="4"/>
  <c r="D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F997" i="4"/>
  <c r="E997" i="4"/>
  <c r="D997" i="4"/>
  <c r="G997" i="4"/>
  <c r="B997" i="4"/>
  <c r="C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C998" i="4"/>
  <c r="E998" i="4"/>
  <c r="B998" i="4"/>
  <c r="G998" i="4"/>
  <c r="F998" i="4"/>
  <c r="D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E999" i="4"/>
  <c r="D999" i="4"/>
  <c r="F999" i="4"/>
  <c r="C999" i="4"/>
  <c r="G999" i="4"/>
  <c r="B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C1000" i="4"/>
  <c r="B1000" i="4"/>
  <c r="F1000" i="4"/>
  <c r="G1000" i="4"/>
  <c r="E1000" i="4"/>
  <c r="D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D1001" i="4"/>
  <c r="F1001" i="4"/>
  <c r="B1001" i="4"/>
  <c r="C1001" i="4"/>
  <c r="E1001" i="4"/>
  <c r="G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E1002" i="4"/>
  <c r="D1002" i="4"/>
  <c r="C1002" i="4"/>
  <c r="F1002" i="4"/>
  <c r="G1002" i="4"/>
  <c r="B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C1003" i="4"/>
  <c r="E1003" i="4"/>
  <c r="B1003" i="4"/>
  <c r="D1003" i="4"/>
  <c r="G1003" i="4"/>
  <c r="F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G1004" i="4"/>
  <c r="D1004" i="4"/>
  <c r="B1004" i="4"/>
  <c r="E1004" i="4"/>
  <c r="C1004" i="4"/>
  <c r="F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C1005" i="4"/>
  <c r="G1005" i="4"/>
  <c r="F1005" i="4"/>
  <c r="E1005" i="4"/>
  <c r="D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C1006" i="4"/>
  <c r="B1006" i="4"/>
  <c r="F1006" i="4"/>
  <c r="D1006" i="4"/>
  <c r="E1006" i="4"/>
  <c r="G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G1007" i="4"/>
  <c r="F1007" i="4"/>
  <c r="D1007" i="4"/>
  <c r="B1007" i="4"/>
  <c r="E1007" i="4"/>
  <c r="C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D1008" i="4"/>
  <c r="C1008" i="4"/>
  <c r="F1008" i="4"/>
  <c r="B1008" i="4"/>
  <c r="G1008" i="4"/>
  <c r="E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E1009" i="4"/>
  <c r="B1009" i="4"/>
  <c r="D1009" i="4"/>
  <c r="C1009" i="4"/>
  <c r="F1009" i="4"/>
  <c r="G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D1010" i="4"/>
  <c r="E1010" i="4"/>
  <c r="F1010" i="4"/>
  <c r="B1010" i="4"/>
  <c r="C1010" i="4"/>
  <c r="G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B1011" i="4"/>
  <c r="D1011" i="4"/>
  <c r="E1011" i="4"/>
  <c r="C1011" i="4"/>
  <c r="G1011" i="4"/>
  <c r="F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C1012" i="4"/>
  <c r="B1012" i="4"/>
  <c r="G1012" i="4"/>
  <c r="E1012" i="4"/>
  <c r="F1012" i="4"/>
  <c r="D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C1013" i="4"/>
  <c r="F1013" i="4"/>
  <c r="B1013" i="4"/>
  <c r="E1013" i="4"/>
  <c r="D1013" i="4"/>
  <c r="G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E1014" i="4"/>
  <c r="G1014" i="4"/>
  <c r="D1014" i="4"/>
  <c r="B1014" i="4"/>
  <c r="F1014" i="4"/>
  <c r="C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D1015" i="4"/>
  <c r="E1015" i="4"/>
  <c r="G1015" i="4"/>
  <c r="B1015" i="4"/>
  <c r="C1015" i="4"/>
  <c r="F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F1016" i="4"/>
  <c r="C1016" i="4"/>
  <c r="G1016" i="4"/>
  <c r="D1016" i="4"/>
  <c r="B1016" i="4"/>
  <c r="E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E1017" i="4"/>
  <c r="C1017" i="4"/>
  <c r="D1017" i="4"/>
  <c r="B1017" i="4"/>
  <c r="F1017" i="4"/>
  <c r="G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E1018" i="4"/>
  <c r="F1018" i="4"/>
  <c r="G1018" i="4"/>
  <c r="B1018" i="4"/>
  <c r="D1018" i="4"/>
  <c r="C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G1019" i="4"/>
  <c r="D1019" i="4"/>
  <c r="F1019" i="4"/>
  <c r="B1019" i="4"/>
  <c r="C1019" i="4"/>
  <c r="E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B1020" i="4"/>
  <c r="C1020" i="4"/>
  <c r="E1020" i="4"/>
  <c r="D1020" i="4"/>
  <c r="G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F1021" i="4"/>
  <c r="E1021" i="4"/>
  <c r="B1021" i="4"/>
  <c r="C1021" i="4"/>
  <c r="G1021" i="4"/>
  <c r="D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G1022" i="4"/>
  <c r="C1022" i="4"/>
  <c r="B1022" i="4"/>
  <c r="D1022" i="4"/>
  <c r="E1022" i="4"/>
  <c r="F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E1023" i="4"/>
  <c r="D1023" i="4"/>
  <c r="C1023" i="4"/>
  <c r="G1023" i="4"/>
  <c r="F1023" i="4"/>
  <c r="B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G1024" i="4"/>
  <c r="F1024" i="4"/>
  <c r="B1024" i="4"/>
  <c r="C1024" i="4"/>
  <c r="E1024" i="4"/>
  <c r="D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E1025" i="4"/>
  <c r="C1025" i="4"/>
  <c r="B1025" i="4"/>
  <c r="F1025" i="4"/>
  <c r="D1025" i="4"/>
  <c r="G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G1026" i="4"/>
  <c r="F1026" i="4"/>
  <c r="E1026" i="4"/>
  <c r="B1026" i="4"/>
  <c r="C1026" i="4"/>
  <c r="D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F1027" i="4"/>
  <c r="B1027" i="4"/>
  <c r="E1027" i="4"/>
  <c r="G1027" i="4"/>
  <c r="D1027" i="4"/>
  <c r="C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E1028" i="4"/>
  <c r="B1028" i="4"/>
  <c r="C1028" i="4"/>
  <c r="F1028" i="4"/>
  <c r="D1028" i="4"/>
  <c r="G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E1029" i="4"/>
  <c r="B1029" i="4"/>
  <c r="G1029" i="4"/>
  <c r="D1029" i="4"/>
  <c r="C1029" i="4"/>
  <c r="F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F1030" i="4"/>
  <c r="B1030" i="4"/>
  <c r="G1030" i="4"/>
  <c r="E1030" i="4"/>
  <c r="C1030" i="4"/>
  <c r="D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D1031" i="4"/>
  <c r="E1031" i="4"/>
  <c r="C1031" i="4"/>
  <c r="G1031" i="4"/>
  <c r="F1031" i="4"/>
  <c r="B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B1032" i="4"/>
  <c r="C1032" i="4"/>
  <c r="E1032" i="4"/>
  <c r="D1032" i="4"/>
  <c r="G1032" i="4"/>
  <c r="F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C1033" i="4"/>
  <c r="E1033" i="4"/>
  <c r="F1033" i="4"/>
  <c r="G1033" i="4"/>
  <c r="D1033" i="4"/>
  <c r="B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D1034" i="4"/>
  <c r="C1034" i="4"/>
  <c r="F1034" i="4"/>
  <c r="E1034" i="4"/>
  <c r="B1034" i="4"/>
  <c r="G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G1035" i="4"/>
  <c r="B1035" i="4"/>
  <c r="C1035" i="4"/>
  <c r="F1035" i="4"/>
  <c r="D1035" i="4"/>
  <c r="E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E1036" i="4"/>
  <c r="F1036" i="4"/>
  <c r="C1036" i="4"/>
  <c r="B1036" i="4"/>
  <c r="D1036" i="4"/>
  <c r="G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D1037" i="4"/>
  <c r="C1037" i="4"/>
  <c r="G1037" i="4"/>
  <c r="E1037" i="4"/>
  <c r="F1037" i="4"/>
  <c r="B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D1038" i="4"/>
  <c r="F1038" i="4"/>
  <c r="C1038" i="4"/>
  <c r="B1038" i="4"/>
  <c r="G1038" i="4"/>
  <c r="E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E1039" i="4"/>
  <c r="C1039" i="4"/>
  <c r="F1039" i="4"/>
  <c r="G1039" i="4"/>
  <c r="D1039" i="4"/>
  <c r="B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G1040" i="4"/>
  <c r="E1040" i="4"/>
  <c r="F1040" i="4"/>
  <c r="B1040" i="4"/>
  <c r="C1040" i="4"/>
  <c r="D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C1041" i="4"/>
  <c r="D1041" i="4"/>
  <c r="B1041" i="4"/>
  <c r="G1041" i="4"/>
  <c r="F1041" i="4"/>
  <c r="E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E1042" i="4"/>
  <c r="D1042" i="4"/>
  <c r="F1042" i="4"/>
  <c r="B1042" i="4"/>
  <c r="G1042" i="4"/>
  <c r="C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E1043" i="4"/>
  <c r="B1043" i="4"/>
  <c r="F1043" i="4"/>
  <c r="G1043" i="4"/>
  <c r="C1043" i="4"/>
  <c r="D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D1044" i="4"/>
  <c r="E1044" i="4"/>
  <c r="G1044" i="4"/>
  <c r="C1044" i="4"/>
  <c r="B1044" i="4"/>
  <c r="F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C1045" i="4"/>
  <c r="F1045" i="4"/>
  <c r="G1045" i="4"/>
  <c r="B1045" i="4"/>
  <c r="D1045" i="4"/>
  <c r="E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B1046" i="4"/>
  <c r="C1046" i="4"/>
  <c r="D1046" i="4"/>
  <c r="G1046" i="4"/>
  <c r="E1046" i="4"/>
  <c r="F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E1047" i="4"/>
  <c r="G1047" i="4"/>
  <c r="B1047" i="4"/>
  <c r="C1047" i="4"/>
  <c r="F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E1048" i="4"/>
  <c r="D1048" i="4"/>
  <c r="B1048" i="4"/>
  <c r="F1048" i="4"/>
  <c r="C1048" i="4"/>
  <c r="G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C1049" i="4"/>
  <c r="E1049" i="4"/>
  <c r="B1049" i="4"/>
  <c r="F1049" i="4"/>
  <c r="D1049" i="4"/>
  <c r="G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C1050" i="4"/>
  <c r="E1050" i="4"/>
  <c r="F1050" i="4"/>
  <c r="D1050" i="4"/>
  <c r="G1050" i="4"/>
  <c r="B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D1051" i="4"/>
  <c r="G1051" i="4"/>
  <c r="B1051" i="4"/>
  <c r="E1051" i="4"/>
  <c r="C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D1052" i="4"/>
  <c r="E1052" i="4"/>
  <c r="B1052" i="4"/>
  <c r="G1052" i="4"/>
  <c r="F1052" i="4"/>
  <c r="C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C1053" i="4"/>
  <c r="F1053" i="4"/>
  <c r="E1053" i="4"/>
  <c r="G1053" i="4"/>
  <c r="D1053" i="4"/>
  <c r="B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G1054" i="4"/>
  <c r="C1054" i="4"/>
  <c r="D1054" i="4"/>
  <c r="E1054" i="4"/>
  <c r="F1054" i="4"/>
  <c r="B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F1055" i="4"/>
  <c r="C1055" i="4"/>
  <c r="D1055" i="4"/>
  <c r="E1055" i="4"/>
  <c r="B1055" i="4"/>
  <c r="G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E1056" i="4"/>
  <c r="F1056" i="4"/>
  <c r="B1056" i="4"/>
  <c r="C1056" i="4"/>
  <c r="D1056" i="4"/>
  <c r="G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C1057" i="4"/>
  <c r="F1057" i="4"/>
  <c r="D1057" i="4"/>
  <c r="B1057" i="4"/>
  <c r="G1057" i="4"/>
  <c r="E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C1058" i="4"/>
  <c r="F1058" i="4"/>
  <c r="G1058" i="4"/>
  <c r="D1058" i="4"/>
  <c r="E1058" i="4"/>
  <c r="B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F1059" i="4"/>
  <c r="D1059" i="4"/>
  <c r="B1059" i="4"/>
  <c r="G1059" i="4"/>
  <c r="E1059" i="4"/>
  <c r="C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D1060" i="4"/>
  <c r="F1060" i="4"/>
  <c r="E1060" i="4"/>
  <c r="B1060" i="4"/>
  <c r="C1060" i="4"/>
  <c r="B1059" i="6" l="1"/>
  <c r="C1059" i="6" s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H1060" i="4"/>
  <c r="I1060" i="4"/>
  <c r="A1060" i="6"/>
  <c r="A1061" i="8" s="1"/>
  <c r="E1061" i="4"/>
  <c r="B1061" i="4"/>
  <c r="G1061" i="4"/>
  <c r="F1061" i="4"/>
  <c r="D1061" i="4"/>
  <c r="C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G1062" i="4"/>
  <c r="C1062" i="4"/>
  <c r="B1062" i="4"/>
  <c r="D1062" i="4"/>
  <c r="E1062" i="4"/>
  <c r="F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B1063" i="4"/>
  <c r="C1063" i="4"/>
  <c r="D1063" i="4"/>
  <c r="E1063" i="4"/>
  <c r="G1063" i="4"/>
  <c r="F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D1064" i="4"/>
  <c r="C1064" i="4"/>
  <c r="F1064" i="4"/>
  <c r="G1064" i="4"/>
  <c r="E1064" i="4"/>
  <c r="B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D1065" i="4"/>
  <c r="C1065" i="4"/>
  <c r="G1065" i="4"/>
  <c r="B1065" i="4"/>
  <c r="F1065" i="4"/>
  <c r="E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C1066" i="4"/>
  <c r="E1066" i="4"/>
  <c r="G1066" i="4"/>
  <c r="B1066" i="4"/>
  <c r="D1066" i="4"/>
  <c r="F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B1067" i="4"/>
  <c r="C1067" i="4"/>
  <c r="G1067" i="4"/>
  <c r="D1067" i="4"/>
  <c r="F1067" i="4"/>
  <c r="E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D1068" i="4"/>
  <c r="E1068" i="4"/>
  <c r="G1068" i="4"/>
  <c r="F1068" i="4"/>
  <c r="C1068" i="4"/>
  <c r="B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B1069" i="4"/>
  <c r="C1069" i="4"/>
  <c r="D1069" i="4"/>
  <c r="F1069" i="4"/>
  <c r="G1069" i="4"/>
  <c r="E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F1070" i="4"/>
  <c r="C1070" i="4"/>
  <c r="B1070" i="4"/>
  <c r="D1070" i="4"/>
  <c r="E1070" i="4"/>
  <c r="G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B1071" i="4"/>
  <c r="G1071" i="4"/>
  <c r="F1071" i="4"/>
  <c r="E1071" i="4"/>
  <c r="D1071" i="4"/>
  <c r="C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C1072" i="4"/>
  <c r="E1072" i="4"/>
  <c r="G1072" i="4"/>
  <c r="B1072" i="4"/>
  <c r="F1072" i="4"/>
  <c r="D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B1073" i="4"/>
  <c r="D1073" i="4"/>
  <c r="C1073" i="4"/>
  <c r="G1073" i="4"/>
  <c r="E1073" i="4"/>
  <c r="F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E1074" i="4"/>
  <c r="G1074" i="4"/>
  <c r="B1074" i="4"/>
  <c r="D1074" i="4"/>
  <c r="F1074" i="4"/>
  <c r="C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F1075" i="4"/>
  <c r="B1075" i="4"/>
  <c r="C1075" i="4"/>
  <c r="G1075" i="4"/>
  <c r="D1075" i="4"/>
  <c r="E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D1076" i="4"/>
  <c r="E1076" i="4"/>
  <c r="F1076" i="4"/>
  <c r="B1076" i="4"/>
  <c r="C1076" i="4"/>
  <c r="G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F1077" i="4"/>
  <c r="D1077" i="4"/>
  <c r="E1077" i="4"/>
  <c r="C1077" i="4"/>
  <c r="G1077" i="4"/>
  <c r="B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D1078" i="4"/>
  <c r="E1078" i="4"/>
  <c r="C1078" i="4"/>
  <c r="G1078" i="4"/>
  <c r="F1078" i="4"/>
  <c r="B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F1079" i="4"/>
  <c r="E1079" i="4"/>
  <c r="G1079" i="4"/>
  <c r="D1079" i="4"/>
  <c r="B1079" i="4"/>
  <c r="C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G1080" i="4"/>
  <c r="B1080" i="4"/>
  <c r="E1080" i="4"/>
  <c r="D1080" i="4"/>
  <c r="F1080" i="4"/>
  <c r="C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E1081" i="4"/>
  <c r="B1081" i="4"/>
  <c r="C1081" i="4"/>
  <c r="F1081" i="4"/>
  <c r="D1081" i="4"/>
  <c r="G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C1082" i="4"/>
  <c r="G1082" i="4"/>
  <c r="D1082" i="4"/>
  <c r="F1082" i="4"/>
  <c r="B1082" i="4"/>
  <c r="E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C1083" i="4"/>
  <c r="E1083" i="4"/>
  <c r="D1083" i="4"/>
  <c r="G1083" i="4"/>
  <c r="F1083" i="4"/>
  <c r="B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D1084" i="4"/>
  <c r="E1084" i="4"/>
  <c r="B1084" i="4"/>
  <c r="C1084" i="4"/>
  <c r="G1084" i="4"/>
  <c r="F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E1085" i="4"/>
  <c r="D1085" i="4"/>
  <c r="B1085" i="4"/>
  <c r="G1085" i="4"/>
  <c r="C1085" i="4"/>
  <c r="F1085" i="4"/>
  <c r="B1084" i="6" l="1"/>
  <c r="C1084" i="6" s="1"/>
  <c r="D1084" i="6" s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I1085" i="4"/>
  <c r="H1085" i="4"/>
  <c r="A1085" i="6"/>
  <c r="A1086" i="8" s="1"/>
  <c r="F1086" i="4"/>
  <c r="C1086" i="4"/>
  <c r="D1086" i="4"/>
  <c r="E1086" i="4"/>
  <c r="B1086" i="4"/>
  <c r="G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B1087" i="4"/>
  <c r="E1087" i="4"/>
  <c r="F1087" i="4"/>
  <c r="G1087" i="4"/>
  <c r="D1087" i="4"/>
  <c r="C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G1088" i="4"/>
  <c r="B1088" i="4"/>
  <c r="C1088" i="4"/>
  <c r="D1088" i="4"/>
  <c r="E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G1089" i="4"/>
  <c r="B1089" i="4"/>
  <c r="D1089" i="4"/>
  <c r="F1089" i="4"/>
  <c r="C1089" i="4"/>
  <c r="E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B1090" i="4"/>
  <c r="G1090" i="4"/>
  <c r="E1090" i="4"/>
  <c r="F1090" i="4"/>
  <c r="D1090" i="4"/>
  <c r="C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D1091" i="4"/>
  <c r="E1091" i="4"/>
  <c r="B1091" i="4"/>
  <c r="C1091" i="4"/>
  <c r="G1091" i="4"/>
  <c r="F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C1092" i="4"/>
  <c r="D1092" i="4"/>
  <c r="F1092" i="4"/>
  <c r="B1092" i="4"/>
  <c r="G1092" i="4"/>
  <c r="E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G1093" i="4"/>
  <c r="C1093" i="4"/>
  <c r="E1093" i="4"/>
  <c r="D1093" i="4"/>
  <c r="B1093" i="4"/>
  <c r="F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B1094" i="4"/>
  <c r="G1094" i="4"/>
  <c r="D1094" i="4"/>
  <c r="E1094" i="4"/>
  <c r="C1094" i="4"/>
  <c r="F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B1095" i="4"/>
  <c r="E1095" i="4"/>
  <c r="G1095" i="4"/>
  <c r="C1095" i="4"/>
  <c r="D1095" i="4"/>
  <c r="F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E1096" i="4"/>
  <c r="B1096" i="4"/>
  <c r="F1096" i="4"/>
  <c r="C1096" i="4"/>
  <c r="D1096" i="4"/>
  <c r="G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C1097" i="4"/>
  <c r="D1097" i="4"/>
  <c r="B1097" i="4"/>
  <c r="G1097" i="4"/>
  <c r="F1097" i="4"/>
  <c r="E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B1098" i="4"/>
  <c r="C1098" i="4"/>
  <c r="D1098" i="4"/>
  <c r="G1098" i="4"/>
  <c r="F1098" i="4"/>
  <c r="E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C1099" i="4"/>
  <c r="B1099" i="4"/>
  <c r="E1099" i="4"/>
  <c r="F1099" i="4"/>
  <c r="G1099" i="4"/>
  <c r="D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G1100" i="4"/>
  <c r="D1100" i="4"/>
  <c r="B1100" i="4"/>
  <c r="C1100" i="4"/>
  <c r="E1100" i="4"/>
  <c r="F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C1101" i="4"/>
  <c r="F1101" i="4"/>
  <c r="E1101" i="4"/>
  <c r="G1101" i="4"/>
  <c r="D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C1102" i="4"/>
  <c r="E1102" i="4"/>
  <c r="B1102" i="4"/>
  <c r="F1102" i="4"/>
  <c r="D1102" i="4"/>
  <c r="G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F1103" i="4"/>
  <c r="E1103" i="4"/>
  <c r="D1103" i="4"/>
  <c r="G1103" i="4"/>
  <c r="C1103" i="4"/>
  <c r="B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F1104" i="4"/>
  <c r="E1104" i="4"/>
  <c r="C1104" i="4"/>
  <c r="B1104" i="4"/>
  <c r="G1104" i="4"/>
  <c r="D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E1166" i="6" s="1"/>
  <c r="F1166" i="6" s="1"/>
  <c r="D1167" i="8" s="1"/>
  <c r="E1167" i="8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4" i="6" l="1"/>
  <c r="F1164" i="6" s="1"/>
  <c r="D1165" i="8" s="1"/>
  <c r="E1165" i="8" s="1"/>
  <c r="E1165" i="6"/>
  <c r="F1165" i="6" s="1"/>
  <c r="D1166" i="8" s="1"/>
  <c r="E1166" i="8" s="1"/>
  <c r="E1163" i="6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<sst xmlns="http://schemas.openxmlformats.org/spreadsheetml/2006/main" count="147" uniqueCount="111">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</sst>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15" fillId="0" borderId="0" xfId="0" applyFont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81"/>
  <sheetViews>
    <sheetView topLeftCell="A1156" workbookViewId="0">
      <selection activeCell="A1122" sqref="A1122:I1181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81" si="56">AVERAGE(B1160:D1160)</f>
        <v>179.51329999999999</v>
      </c>
      <c r="I1160">
        <f t="shared" ref="I1160:I1181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  <row r="1167" spans="1:9">
      <c r="A1167" s="3">
        <f>信用曲线—价格!A1167</f>
        <v>46267</v>
      </c>
      <c r="B1167" s="1">
        <f>[1]!i_dq_close($B$1,A1167)</f>
        <v>161.46690000000001</v>
      </c>
      <c r="C1167" s="1">
        <f>[1]!i_dq_close($C$1,A1167)</f>
        <v>180.72710000000001</v>
      </c>
      <c r="D1167" s="1">
        <f>[1]!i_dq_close($D$1,A1167)</f>
        <v>196.57570000000001</v>
      </c>
      <c r="E1167" s="1">
        <f>[1]!i_dq_close($E$1,A1167)</f>
        <v>206.84690000000001</v>
      </c>
      <c r="F1167" s="1">
        <f>[1]!i_dq_close($F$1,A1167)</f>
        <v>221.86619999999999</v>
      </c>
      <c r="G1167" s="1">
        <f>[1]!i_dq_close($G$1,A1167)</f>
        <v>236.74510000000001</v>
      </c>
      <c r="H1167">
        <f t="shared" si="56"/>
        <v>179.58990000000003</v>
      </c>
      <c r="I1167">
        <f t="shared" si="57"/>
        <v>221.8194</v>
      </c>
    </row>
    <row r="1168" spans="1:9">
      <c r="A1168" s="3">
        <f>信用曲线—价格!A1168</f>
        <v>46268</v>
      </c>
      <c r="B1168" s="1">
        <f>[1]!i_dq_close($B$1,A1168)</f>
        <v>161.47579999999999</v>
      </c>
      <c r="C1168" s="1">
        <f>[1]!i_dq_close($C$1,A1168)</f>
        <v>180.751</v>
      </c>
      <c r="D1168" s="1">
        <f>[1]!i_dq_close($D$1,A1168)</f>
        <v>196.61060000000001</v>
      </c>
      <c r="E1168" s="1">
        <f>[1]!i_dq_close($E$1,A1168)</f>
        <v>206.90049999999999</v>
      </c>
      <c r="F1168" s="1">
        <f>[1]!i_dq_close($F$1,A1168)</f>
        <v>221.97210000000001</v>
      </c>
      <c r="G1168" s="1">
        <f>[1]!i_dq_close($G$1,A1168)</f>
        <v>236.9683</v>
      </c>
      <c r="H1168">
        <f t="shared" si="56"/>
        <v>179.61246666666668</v>
      </c>
      <c r="I1168">
        <f t="shared" si="57"/>
        <v>221.94696666666667</v>
      </c>
    </row>
    <row r="1169" spans="1:9">
      <c r="A1169" s="3">
        <f>信用曲线—价格!A1169</f>
        <v>46269</v>
      </c>
      <c r="B1169" s="1">
        <f>[1]!i_dq_close($B$1,A1169)</f>
        <v>161.48150000000001</v>
      </c>
      <c r="C1169" s="1">
        <f>[1]!i_dq_close($C$1,A1169)</f>
        <v>180.76070000000001</v>
      </c>
      <c r="D1169" s="1">
        <f>[1]!i_dq_close($D$1,A1169)</f>
        <v>196.63550000000001</v>
      </c>
      <c r="E1169" s="1">
        <f>[1]!i_dq_close($E$1,A1169)</f>
        <v>206.88650000000001</v>
      </c>
      <c r="F1169" s="1">
        <f>[1]!i_dq_close($F$1,A1169)</f>
        <v>222.01560000000001</v>
      </c>
      <c r="G1169" s="1">
        <f>[1]!i_dq_close($G$1,A1169)</f>
        <v>237.10310000000001</v>
      </c>
      <c r="H1169">
        <f t="shared" si="56"/>
        <v>179.6259</v>
      </c>
      <c r="I1169">
        <f t="shared" si="57"/>
        <v>222.00173333333336</v>
      </c>
    </row>
    <row r="1170" spans="1:9">
      <c r="A1170" s="3">
        <f>信用曲线—价格!A1170</f>
        <v>46272</v>
      </c>
      <c r="B1170" s="1">
        <f>[1]!i_dq_close($B$1,A1170)</f>
        <v>161.5008</v>
      </c>
      <c r="C1170" s="1">
        <f>[1]!i_dq_close($C$1,A1170)</f>
        <v>180.80860000000001</v>
      </c>
      <c r="D1170" s="1">
        <f>[1]!i_dq_close($D$1,A1170)</f>
        <v>196.71610000000001</v>
      </c>
      <c r="E1170" s="1">
        <f>[1]!i_dq_close($E$1,A1170)</f>
        <v>206.93469999999999</v>
      </c>
      <c r="F1170" s="1">
        <f>[1]!i_dq_close($F$1,A1170)</f>
        <v>222.166</v>
      </c>
      <c r="G1170" s="1">
        <f>[1]!i_dq_close($G$1,A1170)</f>
        <v>237.24340000000001</v>
      </c>
      <c r="H1170">
        <f t="shared" si="56"/>
        <v>179.67516666666666</v>
      </c>
      <c r="I1170">
        <f t="shared" si="57"/>
        <v>222.1147</v>
      </c>
    </row>
    <row r="1171" spans="1:9">
      <c r="A1171" s="3">
        <f>信用曲线—价格!A1171</f>
        <v>46273</v>
      </c>
      <c r="B1171" s="1">
        <f>[1]!i_dq_close($B$1,A1171)</f>
        <v>161.5078</v>
      </c>
      <c r="C1171" s="1">
        <f>[1]!i_dq_close($C$1,A1171)</f>
        <v>180.8186</v>
      </c>
      <c r="D1171" s="1">
        <f>[1]!i_dq_close($D$1,A1171)</f>
        <v>196.7295</v>
      </c>
      <c r="E1171" s="1">
        <f>[1]!i_dq_close($E$1,A1171)</f>
        <v>206.9828</v>
      </c>
      <c r="F1171" s="1">
        <f>[1]!i_dq_close($F$1,A1171)</f>
        <v>222.18969999999999</v>
      </c>
      <c r="G1171" s="1">
        <f>[1]!i_dq_close($G$1,A1171)</f>
        <v>237.17140000000001</v>
      </c>
      <c r="H1171">
        <f t="shared" si="56"/>
        <v>179.68530000000001</v>
      </c>
      <c r="I1171">
        <f t="shared" si="57"/>
        <v>222.11463333333336</v>
      </c>
    </row>
    <row r="1172" spans="1:9">
      <c r="A1172" s="3">
        <f>信用曲线—价格!A1172</f>
        <v>46274</v>
      </c>
      <c r="B1172" s="1">
        <f>[1]!i_dq_close($B$1,A1172)</f>
        <v>161.51519999999999</v>
      </c>
      <c r="C1172" s="1">
        <f>[1]!i_dq_close($C$1,A1172)</f>
        <v>180.8297</v>
      </c>
      <c r="D1172" s="1">
        <f>[1]!i_dq_close($D$1,A1172)</f>
        <v>196.7508</v>
      </c>
      <c r="E1172" s="1">
        <f>[1]!i_dq_close($E$1,A1172)</f>
        <v>207.02699999999999</v>
      </c>
      <c r="F1172" s="1">
        <f>[1]!i_dq_close($F$1,A1172)</f>
        <v>222.26990000000001</v>
      </c>
      <c r="G1172" s="1">
        <f>[1]!i_dq_close($G$1,A1172)</f>
        <v>237.20740000000001</v>
      </c>
      <c r="H1172">
        <f t="shared" si="56"/>
        <v>179.69856666666666</v>
      </c>
      <c r="I1172">
        <f t="shared" si="57"/>
        <v>222.16810000000001</v>
      </c>
    </row>
    <row r="1173" spans="1:9">
      <c r="A1173" s="3">
        <f>信用曲线—价格!A1173</f>
        <v>46275</v>
      </c>
      <c r="B1173" s="1">
        <f>[1]!i_dq_close($B$1,A1173)</f>
        <v>161.52010000000001</v>
      </c>
      <c r="C1173" s="1">
        <f>[1]!i_dq_close($C$1,A1173)</f>
        <v>180.845</v>
      </c>
      <c r="D1173" s="1">
        <f>[1]!i_dq_close($D$1,A1173)</f>
        <v>196.77379999999999</v>
      </c>
      <c r="E1173" s="1">
        <f>[1]!i_dq_close($E$1,A1173)</f>
        <v>207.09909999999999</v>
      </c>
      <c r="F1173" s="1">
        <f>[1]!i_dq_close($F$1,A1173)</f>
        <v>222.3648</v>
      </c>
      <c r="G1173" s="1">
        <f>[1]!i_dq_close($G$1,A1173)</f>
        <v>237.2876</v>
      </c>
      <c r="H1173">
        <f t="shared" si="56"/>
        <v>179.71296666666663</v>
      </c>
      <c r="I1173">
        <f t="shared" si="57"/>
        <v>222.25049999999999</v>
      </c>
    </row>
    <row r="1174" spans="1:9">
      <c r="A1174" s="3">
        <f>信用曲线—价格!A1174</f>
        <v>46276</v>
      </c>
      <c r="B1174" s="1">
        <f>[1]!i_dq_close($B$1,A1174)</f>
        <v>161.52719999999999</v>
      </c>
      <c r="C1174" s="1">
        <f>[1]!i_dq_close($C$1,A1174)</f>
        <v>180.85669999999999</v>
      </c>
      <c r="D1174" s="1">
        <f>[1]!i_dq_close($D$1,A1174)</f>
        <v>196.7894</v>
      </c>
      <c r="E1174" s="1">
        <f>[1]!i_dq_close($E$1,A1174)</f>
        <v>207.06960000000001</v>
      </c>
      <c r="F1174" s="1">
        <f>[1]!i_dq_close($F$1,A1174)</f>
        <v>222.2407</v>
      </c>
      <c r="G1174" s="1">
        <f>[1]!i_dq_close($G$1,A1174)</f>
        <v>237.4597</v>
      </c>
      <c r="H1174">
        <f t="shared" si="56"/>
        <v>179.72443333333331</v>
      </c>
      <c r="I1174">
        <f t="shared" si="57"/>
        <v>222.25666666666666</v>
      </c>
    </row>
    <row r="1175" spans="1:9">
      <c r="A1175" s="3">
        <f>信用曲线—价格!A1175</f>
        <v>46279</v>
      </c>
      <c r="B1175" s="1">
        <f>[1]!i_dq_close($B$1,A1175)</f>
        <v>161.54859999999999</v>
      </c>
      <c r="C1175" s="1">
        <f>[1]!i_dq_close($C$1,A1175)</f>
        <v>180.88919999999999</v>
      </c>
      <c r="D1175" s="1">
        <f>[1]!i_dq_close($D$1,A1175)</f>
        <v>196.8383</v>
      </c>
      <c r="E1175" s="1">
        <f>[1]!i_dq_close($E$1,A1175)</f>
        <v>207.1105</v>
      </c>
      <c r="F1175" s="1">
        <f>[1]!i_dq_close($F$1,A1175)</f>
        <v>222.2629</v>
      </c>
      <c r="G1175" s="1">
        <f>[1]!i_dq_close($G$1,A1175)</f>
        <v>237.4863</v>
      </c>
      <c r="H1175">
        <f t="shared" si="56"/>
        <v>179.7587</v>
      </c>
      <c r="I1175">
        <f t="shared" si="57"/>
        <v>222.28656666666666</v>
      </c>
    </row>
    <row r="1176" spans="1:9">
      <c r="A1176" s="3">
        <f>信用曲线—价格!A1176</f>
        <v>46280</v>
      </c>
      <c r="B1176" s="1">
        <f>[1]!i_dq_close($B$1,A1176)</f>
        <v>161.55719999999999</v>
      </c>
      <c r="C1176" s="1">
        <f>[1]!i_dq_close($C$1,A1176)</f>
        <v>180.9058</v>
      </c>
      <c r="D1176" s="1">
        <f>[1]!i_dq_close($D$1,A1176)</f>
        <v>196.88229999999999</v>
      </c>
      <c r="E1176" s="1">
        <f>[1]!i_dq_close($E$1,A1176)</f>
        <v>207.11179999999999</v>
      </c>
      <c r="F1176" s="1">
        <f>[1]!i_dq_close($F$1,A1176)</f>
        <v>222.42449999999999</v>
      </c>
      <c r="G1176" s="1">
        <f>[1]!i_dq_close($G$1,A1176)</f>
        <v>237.6036</v>
      </c>
      <c r="H1176">
        <f t="shared" si="56"/>
        <v>179.78176666666664</v>
      </c>
      <c r="I1176">
        <f t="shared" si="57"/>
        <v>222.37996666666666</v>
      </c>
    </row>
    <row r="1177" spans="1:9">
      <c r="A1177" s="3">
        <f>信用曲线—价格!A1177</f>
        <v>46281</v>
      </c>
      <c r="B1177" s="1">
        <f>[1]!i_dq_close($B$1,A1177)</f>
        <v>161.5624</v>
      </c>
      <c r="C1177" s="1">
        <f>[1]!i_dq_close($C$1,A1177)</f>
        <v>180.9187</v>
      </c>
      <c r="D1177" s="1">
        <f>[1]!i_dq_close($D$1,A1177)</f>
        <v>196.9246</v>
      </c>
      <c r="E1177" s="1">
        <f>[1]!i_dq_close($E$1,A1177)</f>
        <v>207.11580000000001</v>
      </c>
      <c r="F1177" s="1">
        <f>[1]!i_dq_close($F$1,A1177)</f>
        <v>222.52010000000001</v>
      </c>
      <c r="G1177" s="1">
        <f>[1]!i_dq_close($G$1,A1177)</f>
        <v>237.70529999999999</v>
      </c>
      <c r="H1177">
        <f t="shared" si="56"/>
        <v>179.80190000000002</v>
      </c>
      <c r="I1177">
        <f t="shared" si="57"/>
        <v>222.44706666666664</v>
      </c>
    </row>
    <row r="1178" spans="1:9">
      <c r="A1178" s="3">
        <f>信用曲线—价格!A1178</f>
        <v>46282</v>
      </c>
      <c r="B1178" s="1">
        <f>[1]!i_dq_close($B$1,A1178)</f>
        <v>161.57040000000001</v>
      </c>
      <c r="C1178" s="1">
        <f>[1]!i_dq_close($C$1,A1178)</f>
        <v>180.93979999999999</v>
      </c>
      <c r="D1178" s="1">
        <f>[1]!i_dq_close($D$1,A1178)</f>
        <v>196.9478</v>
      </c>
      <c r="E1178" s="1">
        <f>[1]!i_dq_close($E$1,A1178)</f>
        <v>207.14240000000001</v>
      </c>
      <c r="F1178" s="1">
        <f>[1]!i_dq_close($F$1,A1178)</f>
        <v>222.64660000000001</v>
      </c>
      <c r="G1178" s="1">
        <f>[1]!i_dq_close($G$1,A1178)</f>
        <v>237.9486</v>
      </c>
      <c r="H1178">
        <f t="shared" si="56"/>
        <v>179.81933333333333</v>
      </c>
      <c r="I1178">
        <f t="shared" si="57"/>
        <v>222.57919999999999</v>
      </c>
    </row>
    <row r="1179" spans="1:9">
      <c r="A1179" s="3">
        <f>信用曲线—价格!A1179</f>
        <v>46283</v>
      </c>
      <c r="B1179" s="1">
        <f>[1]!i_dq_close($B$1,A1179)</f>
        <v>161.577</v>
      </c>
      <c r="C1179" s="1">
        <f>[1]!i_dq_close($C$1,A1179)</f>
        <v>180.96729999999999</v>
      </c>
      <c r="D1179" s="1">
        <f>[1]!i_dq_close($D$1,A1179)</f>
        <v>197.0136</v>
      </c>
      <c r="E1179" s="1">
        <f>[1]!i_dq_close($E$1,A1179)</f>
        <v>207.2894</v>
      </c>
      <c r="F1179" s="1">
        <f>[1]!i_dq_close($F$1,A1179)</f>
        <v>222.8185</v>
      </c>
      <c r="G1179" s="1">
        <f>[1]!i_dq_close($G$1,A1179)</f>
        <v>238.1481</v>
      </c>
      <c r="H1179">
        <f t="shared" si="56"/>
        <v>179.85263333333333</v>
      </c>
      <c r="I1179">
        <f t="shared" si="57"/>
        <v>222.75199999999998</v>
      </c>
    </row>
    <row r="1180" spans="1:9">
      <c r="A1180" s="3">
        <f>信用曲线—价格!A1180</f>
        <v>46285</v>
      </c>
      <c r="B1180" s="1">
        <f>[1]!i_dq_close($B$1,A1180)</f>
        <v>161.58879999999999</v>
      </c>
      <c r="C1180" s="1">
        <f>[1]!i_dq_close($C$1,A1180)</f>
        <v>180.98599999999999</v>
      </c>
      <c r="D1180" s="1">
        <f>[1]!i_dq_close($D$1,A1180)</f>
        <v>197.05250000000001</v>
      </c>
      <c r="E1180" s="1">
        <f>[1]!i_dq_close($E$1,A1180)</f>
        <v>207.404</v>
      </c>
      <c r="F1180" s="1">
        <f>[1]!i_dq_close($F$1,A1180)</f>
        <v>222.9966</v>
      </c>
      <c r="G1180" s="1">
        <f>[1]!i_dq_close($G$1,A1180)</f>
        <v>238.42230000000001</v>
      </c>
      <c r="H1180">
        <f t="shared" si="56"/>
        <v>179.87576666666666</v>
      </c>
      <c r="I1180">
        <f t="shared" si="57"/>
        <v>222.94096666666667</v>
      </c>
    </row>
    <row r="1181" spans="1:9">
      <c r="A1181" s="3">
        <f>信用曲线—价格!A1181</f>
        <v>46286</v>
      </c>
      <c r="B1181" s="1">
        <f>[1]!i_dq_close($B$1,A1181)</f>
        <v>161.59690000000001</v>
      </c>
      <c r="C1181" s="1">
        <f>[1]!i_dq_close($C$1,A1181)</f>
        <v>181.01079999999999</v>
      </c>
      <c r="D1181" s="1">
        <f>[1]!i_dq_close($D$1,A1181)</f>
        <v>197.11609999999999</v>
      </c>
      <c r="E1181" s="1">
        <f>[1]!i_dq_close($E$1,A1181)</f>
        <v>207.4913</v>
      </c>
      <c r="F1181" s="1">
        <f>[1]!i_dq_close($F$1,A1181)</f>
        <v>223.2183</v>
      </c>
      <c r="G1181" s="1">
        <f>[1]!i_dq_close($G$1,A1181)</f>
        <v>238.61680000000001</v>
      </c>
      <c r="H1181">
        <f t="shared" si="56"/>
        <v>179.90793333333332</v>
      </c>
      <c r="I1181">
        <f t="shared" si="57"/>
        <v>223.1088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64" activePane="bottomRight" state="frozen"/>
      <selection pane="topRight" activeCell="B1" sqref="B1"/>
      <selection pane="bottomLeft" activeCell="A3" sqref="A3"/>
      <selection pane="bottomRight" activeCell="H1167" sqref="H1167:I1181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7" si="50">(D1157-F1157)*100</f>
        <v>37.579999999999991</v>
      </c>
      <c r="I1157">
        <f t="shared" ref="I1157:I1167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A1167" s="5">
        <v>46267</v>
      </c>
      <c r="B1167" s="6">
        <v>1.7029000000000001</v>
      </c>
      <c r="C1167" s="6">
        <v>1.8010999999999999</v>
      </c>
      <c r="D1167" s="6">
        <v>2.0093000000000001</v>
      </c>
      <c r="E1167" s="6">
        <v>2.2303000000000002</v>
      </c>
      <c r="F1167" s="6">
        <v>1.6661999999999999</v>
      </c>
      <c r="G1167" s="6">
        <v>1.7615000000000001</v>
      </c>
      <c r="H1167">
        <f t="shared" si="50"/>
        <v>34.310000000000016</v>
      </c>
      <c r="I1167">
        <f t="shared" si="51"/>
        <v>46.88000000000001</v>
      </c>
      <c r="J1167" s="6"/>
      <c r="K1167" s="6"/>
      <c r="L1167" s="6"/>
      <c r="M1167" s="6"/>
      <c r="N1167" s="6"/>
    </row>
    <row r="1168" spans="1:14">
      <c r="A1168" s="5">
        <v>46268</v>
      </c>
      <c r="B1168" s="6">
        <v>1.7045999999999999</v>
      </c>
      <c r="C1168" s="6">
        <v>1.8013999999999999</v>
      </c>
      <c r="D1168" s="6">
        <v>2.0089000000000001</v>
      </c>
      <c r="E1168" s="6">
        <v>2.2202999999999999</v>
      </c>
      <c r="F1168" s="6">
        <v>1.6587000000000001</v>
      </c>
      <c r="G1168" s="6">
        <v>1.7555000000000001</v>
      </c>
      <c r="H1168">
        <f t="shared" ref="H1168:H1179" si="52">(D1168-F1168)*100</f>
        <v>35.02000000000001</v>
      </c>
      <c r="I1168">
        <f t="shared" ref="I1168:I1179" si="53">(E1168-G1168)*100</f>
        <v>46.47999999999999</v>
      </c>
      <c r="J1168" s="6"/>
      <c r="K1168" s="6"/>
      <c r="L1168" s="6"/>
      <c r="M1168" s="6"/>
      <c r="N1168" s="6"/>
    </row>
    <row r="1169" spans="1:14">
      <c r="A1169" s="5">
        <v>46269</v>
      </c>
      <c r="B1169" s="6">
        <v>1.7041999999999999</v>
      </c>
      <c r="C1169" s="6">
        <v>1.7994000000000001</v>
      </c>
      <c r="D1169" s="6">
        <v>1.9977</v>
      </c>
      <c r="E1169" s="6">
        <v>2.2178</v>
      </c>
      <c r="F1169" s="6">
        <v>1.6587000000000001</v>
      </c>
      <c r="G1169" s="6">
        <v>1.7585999999999999</v>
      </c>
      <c r="H1169">
        <f t="shared" si="52"/>
        <v>33.9</v>
      </c>
      <c r="I1169">
        <f t="shared" si="53"/>
        <v>45.92</v>
      </c>
      <c r="J1169" s="6"/>
      <c r="K1169" s="6"/>
      <c r="L1169" s="6"/>
      <c r="M1169" s="6"/>
      <c r="N1169" s="6"/>
    </row>
    <row r="1170" spans="1:14">
      <c r="A1170" s="5">
        <v>46272</v>
      </c>
      <c r="B1170" s="6">
        <v>1.6937</v>
      </c>
      <c r="C1170" s="6">
        <v>1.7948</v>
      </c>
      <c r="D1170" s="6">
        <v>1.9941</v>
      </c>
      <c r="E1170" s="6">
        <v>2.2141999999999999</v>
      </c>
      <c r="F1170" s="6">
        <v>1.6587000000000001</v>
      </c>
      <c r="G1170" s="6">
        <v>1.7577</v>
      </c>
      <c r="H1170">
        <f t="shared" si="52"/>
        <v>33.539999999999992</v>
      </c>
      <c r="I1170">
        <f t="shared" si="53"/>
        <v>45.649999999999991</v>
      </c>
      <c r="J1170" s="6"/>
      <c r="K1170" s="6"/>
      <c r="L1170" s="6"/>
      <c r="M1170" s="6"/>
      <c r="N1170" s="6"/>
    </row>
    <row r="1171" spans="1:14">
      <c r="A1171" s="5">
        <v>46273</v>
      </c>
      <c r="B1171" s="6">
        <v>1.6948000000000001</v>
      </c>
      <c r="C1171" s="6">
        <v>1.7870999999999999</v>
      </c>
      <c r="D1171" s="6">
        <v>1.9793000000000001</v>
      </c>
      <c r="E1171" s="6">
        <v>2.2002000000000002</v>
      </c>
      <c r="F1171" s="6">
        <v>1.6612</v>
      </c>
      <c r="G1171" s="6">
        <v>1.7597</v>
      </c>
      <c r="H1171">
        <f t="shared" si="52"/>
        <v>31.810000000000006</v>
      </c>
      <c r="I1171">
        <f t="shared" si="53"/>
        <v>44.050000000000011</v>
      </c>
      <c r="J1171" s="6"/>
      <c r="K1171" s="6"/>
      <c r="L1171" s="6"/>
      <c r="M1171" s="6"/>
      <c r="N1171" s="6"/>
    </row>
    <row r="1172" spans="1:14">
      <c r="A1172" s="5">
        <v>46274</v>
      </c>
      <c r="B1172" s="6">
        <v>1.6928000000000001</v>
      </c>
      <c r="C1172" s="6">
        <v>1.7883</v>
      </c>
      <c r="D1172" s="6">
        <v>1.9754</v>
      </c>
      <c r="E1172" s="6">
        <v>2.1945999999999999</v>
      </c>
      <c r="F1172" s="6">
        <v>1.6641999999999999</v>
      </c>
      <c r="G1172" s="6">
        <v>1.7618</v>
      </c>
      <c r="H1172">
        <f t="shared" si="52"/>
        <v>31.120000000000015</v>
      </c>
      <c r="I1172">
        <f t="shared" si="53"/>
        <v>43.279999999999987</v>
      </c>
      <c r="J1172" s="6"/>
      <c r="K1172" s="6"/>
      <c r="L1172" s="6"/>
      <c r="M1172" s="6"/>
      <c r="N1172" s="6"/>
    </row>
    <row r="1173" spans="1:14">
      <c r="A1173" s="5">
        <v>46275</v>
      </c>
      <c r="B1173" s="6">
        <v>1.6970000000000001</v>
      </c>
      <c r="C1173" s="6">
        <v>1.7882</v>
      </c>
      <c r="D1173" s="6">
        <v>1.9601999999999999</v>
      </c>
      <c r="E1173" s="6">
        <v>2.1924999999999999</v>
      </c>
      <c r="F1173" s="6">
        <v>1.6667000000000001</v>
      </c>
      <c r="G1173" s="6">
        <v>1.7624</v>
      </c>
      <c r="H1173">
        <f t="shared" si="52"/>
        <v>29.349999999999987</v>
      </c>
      <c r="I1173">
        <f t="shared" si="53"/>
        <v>43.009999999999991</v>
      </c>
      <c r="J1173" s="6"/>
      <c r="K1173" s="6"/>
      <c r="L1173" s="6"/>
      <c r="M1173" s="6"/>
      <c r="N1173" s="6"/>
    </row>
    <row r="1174" spans="1:14">
      <c r="A1174" s="5">
        <v>46276</v>
      </c>
      <c r="B1174" s="6">
        <v>1.696</v>
      </c>
      <c r="C1174" s="6">
        <v>1.7891999999999999</v>
      </c>
      <c r="D1174" s="6">
        <v>1.9652000000000001</v>
      </c>
      <c r="E1174" s="6">
        <v>2.1943000000000001</v>
      </c>
      <c r="F1174" s="6">
        <v>1.673</v>
      </c>
      <c r="G1174" s="6">
        <v>1.7667999999999999</v>
      </c>
      <c r="H1174">
        <f t="shared" si="52"/>
        <v>29.220000000000002</v>
      </c>
      <c r="I1174">
        <f t="shared" si="53"/>
        <v>42.750000000000021</v>
      </c>
      <c r="J1174" s="6"/>
      <c r="K1174" s="6"/>
      <c r="L1174" s="6"/>
      <c r="M1174" s="6"/>
      <c r="N1174" s="6"/>
    </row>
    <row r="1175" spans="1:14">
      <c r="A1175" s="5">
        <v>46279</v>
      </c>
      <c r="B1175" s="6">
        <v>1.6966000000000001</v>
      </c>
      <c r="C1175" s="6">
        <v>1.7902</v>
      </c>
      <c r="D1175" s="6">
        <v>1.9683999999999999</v>
      </c>
      <c r="E1175" s="6">
        <v>2.1858</v>
      </c>
      <c r="F1175" s="6">
        <v>1.6717</v>
      </c>
      <c r="G1175" s="6">
        <v>1.7669999999999999</v>
      </c>
      <c r="H1175">
        <f t="shared" si="52"/>
        <v>29.669999999999995</v>
      </c>
      <c r="I1175">
        <f t="shared" si="53"/>
        <v>41.88000000000001</v>
      </c>
      <c r="J1175" s="6"/>
      <c r="K1175" s="6"/>
      <c r="L1175" s="6"/>
      <c r="M1175" s="6"/>
      <c r="N1175" s="6"/>
    </row>
    <row r="1176" spans="1:14">
      <c r="A1176" s="5">
        <v>46280</v>
      </c>
      <c r="B1176" s="6">
        <v>1.6939</v>
      </c>
      <c r="C1176" s="6">
        <v>1.7787999999999999</v>
      </c>
      <c r="D1176" s="6">
        <v>1.9612000000000001</v>
      </c>
      <c r="E1176" s="6">
        <v>2.1882000000000001</v>
      </c>
      <c r="F1176" s="6">
        <v>1.6697</v>
      </c>
      <c r="G1176" s="6">
        <v>1.7639</v>
      </c>
      <c r="H1176">
        <f t="shared" si="52"/>
        <v>29.150000000000009</v>
      </c>
      <c r="I1176">
        <f t="shared" si="53"/>
        <v>42.430000000000014</v>
      </c>
      <c r="J1176" s="6"/>
      <c r="K1176" s="6"/>
      <c r="L1176" s="6"/>
      <c r="M1176" s="6"/>
      <c r="N1176" s="6"/>
    </row>
    <row r="1177" spans="1:14">
      <c r="A1177" s="5">
        <v>46281</v>
      </c>
      <c r="B1177" s="6">
        <v>1.6903999999999999</v>
      </c>
      <c r="C1177" s="6">
        <v>1.7741</v>
      </c>
      <c r="D1177" s="6">
        <v>1.9633</v>
      </c>
      <c r="E1177" s="6">
        <v>2.1842000000000001</v>
      </c>
      <c r="F1177" s="6">
        <v>1.6677</v>
      </c>
      <c r="G1177" s="6">
        <v>1.7614000000000001</v>
      </c>
      <c r="H1177">
        <f t="shared" si="52"/>
        <v>29.560000000000009</v>
      </c>
      <c r="I1177">
        <f t="shared" si="53"/>
        <v>42.280000000000008</v>
      </c>
      <c r="J1177" s="6"/>
      <c r="K1177" s="6"/>
      <c r="L1177" s="6"/>
      <c r="M1177" s="6"/>
      <c r="N1177" s="6"/>
    </row>
    <row r="1178" spans="1:14">
      <c r="A1178" s="5">
        <v>46282</v>
      </c>
      <c r="B1178" s="6">
        <v>1.6828000000000001</v>
      </c>
      <c r="C1178" s="6">
        <v>1.7717000000000001</v>
      </c>
      <c r="D1178" s="6">
        <v>1.9615</v>
      </c>
      <c r="E1178" s="6">
        <v>2.1837</v>
      </c>
      <c r="F1178" s="6">
        <v>1.665</v>
      </c>
      <c r="G1178" s="6">
        <v>1.7619</v>
      </c>
      <c r="H1178">
        <f t="shared" si="52"/>
        <v>29.65</v>
      </c>
      <c r="I1178">
        <f t="shared" si="53"/>
        <v>42.179999999999993</v>
      </c>
      <c r="J1178" s="6"/>
      <c r="K1178" s="6"/>
      <c r="L1178" s="6"/>
      <c r="M1178" s="6"/>
      <c r="N1178" s="6"/>
    </row>
    <row r="1179" spans="1:14">
      <c r="A1179" s="5">
        <v>46283</v>
      </c>
      <c r="B1179" s="6">
        <v>1.679</v>
      </c>
      <c r="C1179" s="6">
        <v>1.7622</v>
      </c>
      <c r="D1179" s="6">
        <v>1.9529000000000001</v>
      </c>
      <c r="E1179" s="6">
        <v>2.1793999999999998</v>
      </c>
      <c r="F1179" s="6">
        <v>1.6587000000000001</v>
      </c>
      <c r="G1179" s="6">
        <v>1.7563</v>
      </c>
      <c r="H1179">
        <f t="shared" si="52"/>
        <v>29.42</v>
      </c>
      <c r="I1179">
        <f t="shared" si="53"/>
        <v>42.309999999999981</v>
      </c>
      <c r="J1179" s="6"/>
      <c r="K1179" s="6"/>
      <c r="L1179" s="6"/>
      <c r="M1179" s="6"/>
      <c r="N1179" s="6"/>
    </row>
    <row r="1180" spans="1:14">
      <c r="A1180" s="5">
        <v>46285</v>
      </c>
      <c r="B1180" s="6">
        <v>1.6831</v>
      </c>
      <c r="C1180" s="6">
        <v>1.7501</v>
      </c>
      <c r="D1180" s="6">
        <v>1.9444999999999999</v>
      </c>
      <c r="E1180" s="6">
        <v>2.1709999999999998</v>
      </c>
      <c r="F1180" s="6">
        <v>1.6581999999999999</v>
      </c>
      <c r="G1180" s="6">
        <v>1.7538</v>
      </c>
      <c r="H1180">
        <f t="shared" ref="H1180:H1181" si="54">(D1180-F1180)*100</f>
        <v>28.63</v>
      </c>
      <c r="I1180">
        <f t="shared" ref="I1180:I1181" si="55">(E1180-G1180)*100</f>
        <v>41.719999999999978</v>
      </c>
      <c r="J1180" s="6"/>
      <c r="K1180" s="6"/>
      <c r="L1180" s="6"/>
      <c r="M1180" s="6"/>
      <c r="N1180" s="6"/>
    </row>
    <row r="1181" spans="1:14">
      <c r="A1181" s="5">
        <v>46286</v>
      </c>
      <c r="B1181" s="6">
        <v>1.6778</v>
      </c>
      <c r="C1181" s="6">
        <v>1.7479</v>
      </c>
      <c r="D1181" s="6">
        <v>1.9218999999999999</v>
      </c>
      <c r="E1181" s="6">
        <v>2.1652999999999998</v>
      </c>
      <c r="F1181" s="6">
        <v>1.6560999999999999</v>
      </c>
      <c r="G1181" s="6">
        <v>1.756</v>
      </c>
      <c r="H1181">
        <f t="shared" si="54"/>
        <v>26.580000000000005</v>
      </c>
      <c r="I1181">
        <f t="shared" si="55"/>
        <v>40.929999999999978</v>
      </c>
      <c r="J1181" s="6"/>
      <c r="K1181" s="6"/>
      <c r="L1181" s="6"/>
      <c r="M1181" s="6"/>
      <c r="N1181" s="6"/>
    </row>
    <row r="1182" spans="1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1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1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61" activePane="bottomRight" state="frozen"/>
      <selection pane="topRight" activeCell="B1" sqref="B1"/>
      <selection pane="bottomLeft" activeCell="A3" sqref="A3"/>
      <selection pane="bottomRight" activeCell="A1122" sqref="A1122:H1181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81" si="138">AVERAGE(B1120:B1161)</f>
        <v>1.2284350749777257</v>
      </c>
      <c r="D1161" s="14">
        <f t="shared" ref="D1161:D1181" si="139">(B1161/C1161-1)*100</f>
        <v>0.56171602954160349</v>
      </c>
      <c r="E1161" s="14">
        <f t="shared" ref="E1161:E1181" si="140">AVERAGE(D1141:D1161)</f>
        <v>0.44454884273680007</v>
      </c>
      <c r="F1161" s="15" t="str">
        <f t="shared" ref="F1161:F1181" si="141">IF(E1161&gt;0,"上升","下降")</f>
        <v>上升</v>
      </c>
      <c r="G1161" s="14">
        <f t="shared" ref="G1161:G1181" si="142">D1161-D1148</f>
        <v>0.21133234367454179</v>
      </c>
      <c r="H1161" s="1" t="str">
        <f t="shared" ref="H1161:H1181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>
        <f>财富指数—趋势!A1167</f>
        <v>46267</v>
      </c>
      <c r="B1167" s="12">
        <f>财富指数—趋势!I1167/财富指数—趋势!H1167</f>
        <v>1.2351440699059355</v>
      </c>
      <c r="C1167" s="12">
        <f t="shared" si="138"/>
        <v>1.2299536011708323</v>
      </c>
      <c r="D1167" s="14">
        <f t="shared" si="139"/>
        <v>0.42200524720299448</v>
      </c>
      <c r="E1167" s="14">
        <f t="shared" si="140"/>
        <v>0.48624476252820742</v>
      </c>
      <c r="F1167" s="15" t="str">
        <f t="shared" si="141"/>
        <v>上升</v>
      </c>
      <c r="G1167" s="14">
        <f t="shared" si="142"/>
        <v>-8.5005556092099255E-2</v>
      </c>
      <c r="H1167" s="1" t="str">
        <f t="shared" si="143"/>
        <v>减弱</v>
      </c>
    </row>
    <row r="1168" spans="1:8">
      <c r="A1168" s="3">
        <f>财富指数—趋势!A1168</f>
        <v>46268</v>
      </c>
      <c r="B1168" s="12">
        <f>财富指数—趋势!I1168/财富指数—趋势!H1168</f>
        <v>1.2356991181384216</v>
      </c>
      <c r="C1168" s="12">
        <f t="shared" si="138"/>
        <v>1.2302235901531378</v>
      </c>
      <c r="D1168" s="14">
        <f t="shared" si="139"/>
        <v>0.4450839692158981</v>
      </c>
      <c r="E1168" s="14">
        <f t="shared" si="140"/>
        <v>0.4928849234322864</v>
      </c>
      <c r="F1168" s="15" t="str">
        <f t="shared" si="141"/>
        <v>上升</v>
      </c>
      <c r="G1168" s="14">
        <f t="shared" si="142"/>
        <v>-0.10274562656189534</v>
      </c>
      <c r="H1168" s="1" t="str">
        <f t="shared" si="143"/>
        <v>减弱</v>
      </c>
    </row>
    <row r="1169" spans="1:8">
      <c r="A1169" s="3">
        <f>财富指数—趋势!A1169</f>
        <v>46269</v>
      </c>
      <c r="B1169" s="12">
        <f>财富指数—趋势!I1169/财富指数—趋势!H1169</f>
        <v>1.23591159923671</v>
      </c>
      <c r="C1169" s="12">
        <f t="shared" si="138"/>
        <v>1.2304874221477466</v>
      </c>
      <c r="D1169" s="14">
        <f t="shared" si="139"/>
        <v>0.44081532174427007</v>
      </c>
      <c r="E1169" s="14">
        <f t="shared" si="140"/>
        <v>0.4971911918073918</v>
      </c>
      <c r="F1169" s="15" t="str">
        <f t="shared" si="141"/>
        <v>上升</v>
      </c>
      <c r="G1169" s="14">
        <f t="shared" si="142"/>
        <v>-0.19321362118696062</v>
      </c>
      <c r="H1169" s="1" t="str">
        <f t="shared" si="143"/>
        <v>减弱</v>
      </c>
    </row>
    <row r="1170" spans="1:8">
      <c r="A1170" s="3">
        <f>财富指数—趋势!A1170</f>
        <v>46272</v>
      </c>
      <c r="B1170" s="12">
        <f>财富指数—趋势!I1170/财富指数—趋势!H1170</f>
        <v>1.2362014413047251</v>
      </c>
      <c r="C1170" s="12">
        <f t="shared" si="138"/>
        <v>1.2307572420298198</v>
      </c>
      <c r="D1170" s="14">
        <f t="shared" si="139"/>
        <v>0.44234549990755934</v>
      </c>
      <c r="E1170" s="14">
        <f t="shared" si="140"/>
        <v>0.50009584625711512</v>
      </c>
      <c r="F1170" s="15" t="str">
        <f t="shared" si="141"/>
        <v>上升</v>
      </c>
      <c r="G1170" s="14">
        <f t="shared" si="142"/>
        <v>-0.21711923884133455</v>
      </c>
      <c r="H1170" s="1" t="str">
        <f t="shared" si="143"/>
        <v>减弱</v>
      </c>
    </row>
    <row r="1171" spans="1:8">
      <c r="A1171" s="3">
        <f>财富指数—趋势!A1171</f>
        <v>46273</v>
      </c>
      <c r="B1171" s="12">
        <f>财富指数—趋势!I1171/财富指数—趋势!H1171</f>
        <v>1.2361313548372257</v>
      </c>
      <c r="C1171" s="12">
        <f t="shared" si="138"/>
        <v>1.2310241860976807</v>
      </c>
      <c r="D1171" s="14">
        <f t="shared" si="139"/>
        <v>0.41487151895323038</v>
      </c>
      <c r="E1171" s="14">
        <f t="shared" si="140"/>
        <v>0.49966672564909298</v>
      </c>
      <c r="F1171" s="15" t="str">
        <f t="shared" si="141"/>
        <v>上升</v>
      </c>
      <c r="G1171" s="14">
        <f t="shared" si="142"/>
        <v>-0.18894013064914006</v>
      </c>
      <c r="H1171" s="1" t="str">
        <f t="shared" si="143"/>
        <v>减弱</v>
      </c>
    </row>
    <row r="1172" spans="1:8">
      <c r="A1172" s="3">
        <f>财富指数—趋势!A1172</f>
        <v>46274</v>
      </c>
      <c r="B1172" s="12">
        <f>财富指数—趋势!I1172/财富指数—趋势!H1172</f>
        <v>1.2363376298493942</v>
      </c>
      <c r="C1172" s="12">
        <f t="shared" si="138"/>
        <v>1.2312851867729657</v>
      </c>
      <c r="D1172" s="14">
        <f t="shared" si="139"/>
        <v>0.41033898001081592</v>
      </c>
      <c r="E1172" s="14">
        <f t="shared" si="140"/>
        <v>0.49904333147308561</v>
      </c>
      <c r="F1172" s="15" t="str">
        <f t="shared" si="141"/>
        <v>上升</v>
      </c>
      <c r="G1172" s="14">
        <f t="shared" si="142"/>
        <v>-0.12878656394987864</v>
      </c>
      <c r="H1172" s="1" t="str">
        <f t="shared" si="143"/>
        <v>减弱</v>
      </c>
    </row>
    <row r="1173" spans="1:8">
      <c r="A1173" s="3">
        <f>财富指数—趋势!A1173</f>
        <v>46275</v>
      </c>
      <c r="B1173" s="12">
        <f>财富指数—趋势!I1173/财富指数—趋势!H1173</f>
        <v>1.2366970737967526</v>
      </c>
      <c r="C1173" s="12">
        <f t="shared" si="138"/>
        <v>1.2315640341946292</v>
      </c>
      <c r="D1173" s="14">
        <f t="shared" si="139"/>
        <v>0.41679031374768361</v>
      </c>
      <c r="E1173" s="14">
        <f t="shared" si="140"/>
        <v>0.49722759028531122</v>
      </c>
      <c r="F1173" s="15" t="str">
        <f t="shared" si="141"/>
        <v>上升</v>
      </c>
      <c r="G1173" s="14">
        <f t="shared" si="142"/>
        <v>-0.14678309784137422</v>
      </c>
      <c r="H1173" s="1" t="str">
        <f t="shared" si="143"/>
        <v>减弱</v>
      </c>
    </row>
    <row r="1174" spans="1:8">
      <c r="A1174" s="3">
        <f>财富指数—趋势!A1174</f>
        <v>46276</v>
      </c>
      <c r="B1174" s="12">
        <f>财富指数—趋势!I1174/财富指数—趋势!H1174</f>
        <v>1.2366524826062419</v>
      </c>
      <c r="C1174" s="12">
        <f t="shared" si="138"/>
        <v>1.2318284622780955</v>
      </c>
      <c r="D1174" s="14">
        <f t="shared" si="139"/>
        <v>0.39161461809584797</v>
      </c>
      <c r="E1174" s="14">
        <f t="shared" si="140"/>
        <v>0.4925182598676428</v>
      </c>
      <c r="F1174" s="15" t="str">
        <f t="shared" si="141"/>
        <v>上升</v>
      </c>
      <c r="G1174" s="14">
        <f t="shared" si="142"/>
        <v>-0.17010141144575552</v>
      </c>
      <c r="H1174" s="1" t="str">
        <f t="shared" si="143"/>
        <v>减弱</v>
      </c>
    </row>
    <row r="1175" spans="1:8">
      <c r="A1175" s="3">
        <f>财富指数—趋势!A1175</f>
        <v>46279</v>
      </c>
      <c r="B1175" s="12">
        <f>财富指数—趋势!I1175/财富指数—趋势!H1175</f>
        <v>1.2365830786864094</v>
      </c>
      <c r="C1175" s="12">
        <f t="shared" si="138"/>
        <v>1.2320919029812427</v>
      </c>
      <c r="D1175" s="14">
        <f t="shared" si="139"/>
        <v>0.36451629089515603</v>
      </c>
      <c r="E1175" s="14">
        <f t="shared" si="140"/>
        <v>0.48573280689621712</v>
      </c>
      <c r="F1175" s="15" t="str">
        <f t="shared" si="141"/>
        <v>上升</v>
      </c>
      <c r="G1175" s="14">
        <f t="shared" si="142"/>
        <v>-0.15491445744717502</v>
      </c>
      <c r="H1175" s="1" t="str">
        <f t="shared" si="143"/>
        <v>减弱</v>
      </c>
    </row>
    <row r="1176" spans="1:8">
      <c r="A1176" s="3">
        <f>财富指数—趋势!A1176</f>
        <v>46280</v>
      </c>
      <c r="B1176" s="12">
        <f>财富指数—趋势!I1176/财富指数—趋势!H1176</f>
        <v>1.2369439392537585</v>
      </c>
      <c r="C1176" s="12">
        <f t="shared" si="138"/>
        <v>1.2323563506854969</v>
      </c>
      <c r="D1176" s="14">
        <f t="shared" si="139"/>
        <v>0.37226152692844128</v>
      </c>
      <c r="E1176" s="14">
        <f t="shared" si="140"/>
        <v>0.47737242266529545</v>
      </c>
      <c r="F1176" s="15" t="str">
        <f t="shared" si="141"/>
        <v>上升</v>
      </c>
      <c r="G1176" s="14">
        <f t="shared" si="142"/>
        <v>-9.7585553952606041E-2</v>
      </c>
      <c r="H1176" s="1" t="str">
        <f t="shared" si="143"/>
        <v>减弱</v>
      </c>
    </row>
    <row r="1177" spans="1:8">
      <c r="A1177" s="3">
        <f>财富指数—趋势!A1177</f>
        <v>46281</v>
      </c>
      <c r="B1177" s="12">
        <f>财富指数—趋势!I1177/财富指数—趋势!H1177</f>
        <v>1.2371786208414184</v>
      </c>
      <c r="C1177" s="12">
        <f t="shared" si="138"/>
        <v>1.2326291054431526</v>
      </c>
      <c r="D1177" s="14">
        <f t="shared" si="139"/>
        <v>0.36909037586210225</v>
      </c>
      <c r="E1177" s="14">
        <f t="shared" si="140"/>
        <v>0.46475630042390859</v>
      </c>
      <c r="F1177" s="15" t="str">
        <f t="shared" si="141"/>
        <v>上升</v>
      </c>
      <c r="G1177" s="14">
        <f t="shared" si="142"/>
        <v>-7.9737527119916329E-2</v>
      </c>
      <c r="H1177" s="1" t="str">
        <f t="shared" si="143"/>
        <v>减弱</v>
      </c>
    </row>
    <row r="1178" spans="1:8">
      <c r="A1178" s="3">
        <f>财富指数—趋势!A1178</f>
        <v>46282</v>
      </c>
      <c r="B1178" s="12">
        <f>财富指数—趋势!I1178/财富指数—趋势!H1178</f>
        <v>1.2377934890204612</v>
      </c>
      <c r="C1178" s="12">
        <f t="shared" si="138"/>
        <v>1.2329074256564159</v>
      </c>
      <c r="D1178" s="14">
        <f t="shared" si="139"/>
        <v>0.39630415571905164</v>
      </c>
      <c r="E1178" s="14">
        <f t="shared" si="140"/>
        <v>0.4522248440891542</v>
      </c>
      <c r="F1178" s="15" t="str">
        <f t="shared" si="141"/>
        <v>上升</v>
      </c>
      <c r="G1178" s="14">
        <f t="shared" si="142"/>
        <v>-6.6109330866548355E-2</v>
      </c>
      <c r="H1178" s="1" t="str">
        <f t="shared" si="143"/>
        <v>减弱</v>
      </c>
    </row>
    <row r="1179" spans="1:8">
      <c r="A1179" s="3">
        <f>财富指数—趋势!A1179</f>
        <v>46283</v>
      </c>
      <c r="B1179" s="12">
        <f>财富指数—趋势!I1179/财富指数—趋势!H1179</f>
        <v>1.2385250961944954</v>
      </c>
      <c r="C1179" s="12">
        <f t="shared" si="138"/>
        <v>1.2331902826426036</v>
      </c>
      <c r="D1179" s="14">
        <f t="shared" si="139"/>
        <v>0.4326026264543481</v>
      </c>
      <c r="E1179" s="14">
        <f t="shared" si="140"/>
        <v>0.44407203346305785</v>
      </c>
      <c r="F1179" s="15" t="str">
        <f t="shared" si="141"/>
        <v>上升</v>
      </c>
      <c r="G1179" s="14">
        <f t="shared" si="142"/>
        <v>-9.335427650114525E-3</v>
      </c>
      <c r="H1179" s="1" t="str">
        <f t="shared" si="143"/>
        <v>减弱</v>
      </c>
    </row>
    <row r="1180" spans="1:8">
      <c r="A1180" s="3">
        <f>财富指数—趋势!A1180</f>
        <v>46285</v>
      </c>
      <c r="B1180" s="12">
        <f>财富指数—趋势!I1180/财富指数—趋势!H1180</f>
        <v>1.239416352730857</v>
      </c>
      <c r="C1180" s="12">
        <f t="shared" si="138"/>
        <v>1.2334818782198784</v>
      </c>
      <c r="D1180" s="14">
        <f t="shared" si="139"/>
        <v>0.48111566256190397</v>
      </c>
      <c r="E1180" s="14">
        <f t="shared" si="140"/>
        <v>0.4413096581583536</v>
      </c>
      <c r="F1180" s="15" t="str">
        <f t="shared" si="141"/>
        <v>上升</v>
      </c>
      <c r="G1180" s="14">
        <f t="shared" si="142"/>
        <v>5.9110415358909485E-2</v>
      </c>
      <c r="H1180" s="1" t="str">
        <f t="shared" si="143"/>
        <v>领先</v>
      </c>
    </row>
    <row r="1181" spans="1:8">
      <c r="A1181" s="3">
        <f>财富指数—趋势!A1181</f>
        <v>46286</v>
      </c>
      <c r="B1181" s="12">
        <f>财富指数—趋势!I1181/财富指数—趋势!H1181</f>
        <v>1.2401276356536437</v>
      </c>
      <c r="C1181" s="12">
        <f t="shared" si="138"/>
        <v>1.2337827923849776</v>
      </c>
      <c r="D1181" s="14">
        <f t="shared" si="139"/>
        <v>0.51425934190580946</v>
      </c>
      <c r="E1181" s="14">
        <f t="shared" si="140"/>
        <v>0.43896136912581796</v>
      </c>
      <c r="F1181" s="15" t="str">
        <f t="shared" si="141"/>
        <v>上升</v>
      </c>
      <c r="G1181" s="14">
        <f t="shared" si="142"/>
        <v>6.9175372689911363E-2</v>
      </c>
      <c r="H1181" s="1" t="str">
        <f t="shared" si="143"/>
        <v>领先</v>
      </c>
    </row>
    <row r="1182" spans="1:8">
      <c r="A1182" s="3"/>
    </row>
    <row r="1183" spans="1:8">
      <c r="A1183" s="3"/>
    </row>
    <row r="1184" spans="1:8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82"/>
  <sheetViews>
    <sheetView workbookViewId="0">
      <pane xSplit="1" ySplit="3" topLeftCell="I1169" activePane="bottomRight" state="frozen"/>
      <selection pane="topRight" activeCell="B1" sqref="B1"/>
      <selection pane="bottomLeft" activeCell="A4" sqref="A4"/>
      <selection pane="bottomRight" activeCell="A1158" sqref="A1158:R1182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82" si="301">AVERAGE(B1101:B1160)</f>
        <v>2.0772166666666667</v>
      </c>
      <c r="D1160" s="14">
        <f t="shared" ref="D1160:D1182" si="302">STDEV(B1101:B1160)</f>
        <v>2.3951824293895654E-2</v>
      </c>
      <c r="E1160" s="14">
        <f t="shared" ref="E1160:E1182" si="303">C1160+2*D1160</f>
        <v>2.125120315254458</v>
      </c>
      <c r="F1160" s="14">
        <f t="shared" ref="F1160:F1182" si="304">C1160-2*D1160</f>
        <v>2.0293130180788754</v>
      </c>
      <c r="G1160" s="17">
        <f t="shared" ref="G1160:G1182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82" si="306">AVERAGE(H1101:H1160)</f>
        <v>40.127833333333328</v>
      </c>
      <c r="J1160" s="17">
        <f t="shared" ref="J1160:J1182" si="307">STDEV(H1101:H1160)</f>
        <v>1.6091929671887493</v>
      </c>
      <c r="K1160" s="17">
        <f t="shared" ref="K1160:K1182" si="308">I1160+2*J1160</f>
        <v>43.346219267710829</v>
      </c>
      <c r="L1160" s="17">
        <f t="shared" ref="L1160:L1182" si="309">I1160-2*J1160</f>
        <v>36.909447398955827</v>
      </c>
      <c r="M1160" s="17">
        <f t="shared" ref="M1160:M1182" si="310">IF(AND(K1160&lt;&gt;L1160,NOT(ISBLANK(H1160))),100*(H1160-L1160)/(K1160-L1160),"")</f>
        <v>17.874683529318787</v>
      </c>
      <c r="N1160" s="17">
        <f t="shared" ref="N1160:N1182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82" si="312">AVERAGE(O1160:P1160)</f>
        <v>8.249999999999999E-2</v>
      </c>
      <c r="R1160" s="1" t="str">
        <f t="shared" ref="R1160:R1182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>
        <f>信用曲线—价格!A1167</f>
        <v>46267</v>
      </c>
      <c r="B1168" s="14">
        <f>信用曲线—价格!D1167</f>
        <v>2.0093000000000001</v>
      </c>
      <c r="C1168" s="14">
        <f t="shared" si="301"/>
        <v>2.0689416666666665</v>
      </c>
      <c r="D1168" s="14">
        <f t="shared" si="302"/>
        <v>3.365707567418557E-2</v>
      </c>
      <c r="E1168" s="14">
        <f t="shared" si="303"/>
        <v>2.1362558180150377</v>
      </c>
      <c r="F1168" s="14">
        <f t="shared" si="304"/>
        <v>2.0016275153182952</v>
      </c>
      <c r="G1168" s="17">
        <f t="shared" si="305"/>
        <v>5.6990131554934456</v>
      </c>
      <c r="H1168" s="17">
        <f>信用曲线—价格!H1167</f>
        <v>34.310000000000016</v>
      </c>
      <c r="I1168" s="17">
        <f t="shared" si="306"/>
        <v>39.581500000000005</v>
      </c>
      <c r="J1168" s="17">
        <f t="shared" si="307"/>
        <v>2.5372845654560927</v>
      </c>
      <c r="K1168" s="17">
        <f t="shared" si="308"/>
        <v>44.656069130912194</v>
      </c>
      <c r="L1168" s="17">
        <f t="shared" si="309"/>
        <v>34.506930869087817</v>
      </c>
      <c r="M1168" s="17">
        <f t="shared" si="310"/>
        <v>-1.9403703448257215</v>
      </c>
      <c r="N1168" s="17">
        <f t="shared" si="311"/>
        <v>1.879321405333862</v>
      </c>
      <c r="O1168" s="18">
        <f>IFERROR(_xlfn.PERCENTRANK.EXC(INDEX(B:B, MAX(4, ROW()-251)):INDEX(B:B, ROW()), B1168), "")</f>
        <v>1.4999999999999999E-2</v>
      </c>
      <c r="P1168" s="18">
        <f>IFERROR(_xlfn.PERCENTRANK.EXC(INDEX(H:H, MAX(4, ROW()-251)):INDEX(H:H, ROW()), H1168), "")</f>
        <v>1.9E-2</v>
      </c>
      <c r="Q1168">
        <f t="shared" si="312"/>
        <v>1.7000000000000001E-2</v>
      </c>
      <c r="R1168" s="1" t="str">
        <f t="shared" si="313"/>
        <v>贵</v>
      </c>
    </row>
    <row r="1169" spans="1:18">
      <c r="A1169" s="3">
        <f>信用曲线—价格!A1168</f>
        <v>46268</v>
      </c>
      <c r="B1169" s="14">
        <f>信用曲线—价格!D1168</f>
        <v>2.0089000000000001</v>
      </c>
      <c r="C1169" s="14">
        <f t="shared" si="301"/>
        <v>2.0674233333333332</v>
      </c>
      <c r="D1169" s="14">
        <f t="shared" si="302"/>
        <v>3.4281285929377736E-2</v>
      </c>
      <c r="E1169" s="14">
        <f t="shared" si="303"/>
        <v>2.1359859051920886</v>
      </c>
      <c r="F1169" s="14">
        <f t="shared" si="304"/>
        <v>1.9988607614745777</v>
      </c>
      <c r="G1169" s="17">
        <f t="shared" si="305"/>
        <v>7.3212237035857477</v>
      </c>
      <c r="H1169" s="17">
        <f>信用曲线—价格!H1168</f>
        <v>35.02000000000001</v>
      </c>
      <c r="I1169" s="17">
        <f t="shared" si="306"/>
        <v>39.534666666666674</v>
      </c>
      <c r="J1169" s="17">
        <f t="shared" si="307"/>
        <v>2.5954291416601123</v>
      </c>
      <c r="K1169" s="17">
        <f t="shared" si="308"/>
        <v>44.725524949986898</v>
      </c>
      <c r="L1169" s="17">
        <f t="shared" si="309"/>
        <v>34.343808383346449</v>
      </c>
      <c r="M1169" s="17">
        <f t="shared" si="310"/>
        <v>6.5132929830348729</v>
      </c>
      <c r="N1169" s="17">
        <f t="shared" si="311"/>
        <v>6.9172583433103103</v>
      </c>
      <c r="O1169" s="18">
        <f>IFERROR(_xlfn.PERCENTRANK.EXC(INDEX(B:B, MAX(4, ROW()-251)):INDEX(B:B, ROW()), B1169), "")</f>
        <v>1.4999999999999999E-2</v>
      </c>
      <c r="P1169" s="18">
        <f>IFERROR(_xlfn.PERCENTRANK.EXC(INDEX(H:H, MAX(4, ROW()-251)):INDEX(H:H, ROW()), H1169), "")</f>
        <v>3.5000000000000003E-2</v>
      </c>
      <c r="Q1169">
        <f t="shared" si="312"/>
        <v>2.5000000000000001E-2</v>
      </c>
      <c r="R1169" s="1" t="str">
        <f t="shared" si="313"/>
        <v>贵</v>
      </c>
    </row>
    <row r="1170" spans="1:18">
      <c r="A1170" s="3">
        <f>信用曲线—价格!A1169</f>
        <v>46269</v>
      </c>
      <c r="B1170" s="14">
        <f>信用曲线—价格!D1169</f>
        <v>1.9977</v>
      </c>
      <c r="C1170" s="14">
        <f t="shared" si="301"/>
        <v>2.0656716666666664</v>
      </c>
      <c r="D1170" s="14">
        <f t="shared" si="302"/>
        <v>3.5117942160410281E-2</v>
      </c>
      <c r="E1170" s="14">
        <f t="shared" si="303"/>
        <v>2.1359075509874867</v>
      </c>
      <c r="F1170" s="14">
        <f t="shared" si="304"/>
        <v>1.9954357823458457</v>
      </c>
      <c r="G1170" s="17">
        <f t="shared" si="305"/>
        <v>1.6118666946741222</v>
      </c>
      <c r="H1170" s="17">
        <f>信用曲线—价格!H1169</f>
        <v>33.9</v>
      </c>
      <c r="I1170" s="17">
        <f t="shared" si="306"/>
        <v>39.485333333333337</v>
      </c>
      <c r="J1170" s="17">
        <f t="shared" si="307"/>
        <v>2.6740703860180171</v>
      </c>
      <c r="K1170" s="17">
        <f t="shared" si="308"/>
        <v>44.833474105369369</v>
      </c>
      <c r="L1170" s="17">
        <f t="shared" si="309"/>
        <v>34.137192561297304</v>
      </c>
      <c r="M1170" s="17">
        <f t="shared" si="310"/>
        <v>-2.2175235414288359</v>
      </c>
      <c r="N1170" s="17">
        <f t="shared" si="311"/>
        <v>-0.30282842337735683</v>
      </c>
      <c r="O1170" s="18">
        <f>IFERROR(_xlfn.PERCENTRANK.EXC(INDEX(B:B, MAX(4, ROW()-251)):INDEX(B:B, ROW()), B1170), "")</f>
        <v>3.0000000000000001E-3</v>
      </c>
      <c r="P1170" s="18">
        <f>IFERROR(_xlfn.PERCENTRANK.EXC(INDEX(H:H, MAX(4, ROW()-251)):INDEX(H:H, ROW()), H1170), "")</f>
        <v>1.0999999999999999E-2</v>
      </c>
      <c r="Q1170">
        <f t="shared" si="312"/>
        <v>6.9999999999999993E-3</v>
      </c>
      <c r="R1170" s="1" t="str">
        <f t="shared" si="313"/>
        <v>贵</v>
      </c>
    </row>
    <row r="1171" spans="1:18">
      <c r="A1171" s="3">
        <f>信用曲线—价格!A1170</f>
        <v>46272</v>
      </c>
      <c r="B1171" s="14">
        <f>信用曲线—价格!D1170</f>
        <v>1.9941</v>
      </c>
      <c r="C1171" s="14">
        <f t="shared" si="301"/>
        <v>2.063568333333333</v>
      </c>
      <c r="D1171" s="14">
        <f t="shared" si="302"/>
        <v>3.5567012385868152E-2</v>
      </c>
      <c r="E1171" s="14">
        <f t="shared" si="303"/>
        <v>2.1347023581050695</v>
      </c>
      <c r="F1171" s="14">
        <f t="shared" si="304"/>
        <v>1.9924343085615968</v>
      </c>
      <c r="G1171" s="17">
        <f t="shared" si="305"/>
        <v>1.1708120296498783</v>
      </c>
      <c r="H1171" s="17">
        <f>信用曲线—价格!H1170</f>
        <v>33.539999999999992</v>
      </c>
      <c r="I1171" s="17">
        <f t="shared" si="306"/>
        <v>39.390333333333345</v>
      </c>
      <c r="J1171" s="17">
        <f t="shared" si="307"/>
        <v>2.7820057187592293</v>
      </c>
      <c r="K1171" s="17">
        <f t="shared" si="308"/>
        <v>44.954344770851804</v>
      </c>
      <c r="L1171" s="17">
        <f t="shared" si="309"/>
        <v>33.826321895814885</v>
      </c>
      <c r="M1171" s="17">
        <f t="shared" si="310"/>
        <v>-2.5729808343330127</v>
      </c>
      <c r="N1171" s="17">
        <f t="shared" si="311"/>
        <v>-0.70108440234156721</v>
      </c>
      <c r="O1171" s="18">
        <f>IFERROR(_xlfn.PERCENTRANK.EXC(INDEX(B:B, MAX(4, ROW()-251)):INDEX(B:B, ROW()), B1171), "")</f>
        <v>3.0000000000000001E-3</v>
      </c>
      <c r="P1171" s="18">
        <f>IFERROR(_xlfn.PERCENTRANK.EXC(INDEX(H:H, MAX(4, ROW()-251)):INDEX(H:H, ROW()), H1171), "")</f>
        <v>1.0999999999999999E-2</v>
      </c>
      <c r="Q1171">
        <f t="shared" si="312"/>
        <v>6.9999999999999993E-3</v>
      </c>
      <c r="R1171" s="1" t="str">
        <f t="shared" si="313"/>
        <v>贵</v>
      </c>
    </row>
    <row r="1172" spans="1:18">
      <c r="A1172" s="3">
        <f>信用曲线—价格!A1171</f>
        <v>46273</v>
      </c>
      <c r="B1172" s="14">
        <f>信用曲线—价格!D1171</f>
        <v>1.9793000000000001</v>
      </c>
      <c r="C1172" s="14">
        <f t="shared" si="301"/>
        <v>2.0611716666666662</v>
      </c>
      <c r="D1172" s="14">
        <f t="shared" si="302"/>
        <v>3.6324391075497078E-2</v>
      </c>
      <c r="E1172" s="14">
        <f t="shared" si="303"/>
        <v>2.1338204488176604</v>
      </c>
      <c r="F1172" s="14">
        <f t="shared" si="304"/>
        <v>1.9885228845156719</v>
      </c>
      <c r="G1172" s="17">
        <f t="shared" si="305"/>
        <v>-6.3475837051906181</v>
      </c>
      <c r="H1172" s="17">
        <f>信用曲线—价格!H1171</f>
        <v>31.810000000000006</v>
      </c>
      <c r="I1172" s="17">
        <f t="shared" si="306"/>
        <v>39.262666666666675</v>
      </c>
      <c r="J1172" s="17">
        <f t="shared" si="307"/>
        <v>2.9490330886906149</v>
      </c>
      <c r="K1172" s="17">
        <f t="shared" si="308"/>
        <v>45.160732844047907</v>
      </c>
      <c r="L1172" s="17">
        <f t="shared" si="309"/>
        <v>33.364600489285444</v>
      </c>
      <c r="M1172" s="17">
        <f t="shared" si="310"/>
        <v>-13.178900020207024</v>
      </c>
      <c r="N1172" s="17">
        <f t="shared" si="311"/>
        <v>-9.7632418626988215</v>
      </c>
      <c r="O1172" s="18">
        <f>IFERROR(_xlfn.PERCENTRANK.EXC(INDEX(B:B, MAX(4, ROW()-251)):INDEX(B:B, ROW()), B1172), "")</f>
        <v>3.0000000000000001E-3</v>
      </c>
      <c r="P1172" s="18">
        <f>IFERROR(_xlfn.PERCENTRANK.EXC(INDEX(H:H, MAX(4, ROW()-251)):INDEX(H:H, ROW()), H1172), "")</f>
        <v>3.0000000000000001E-3</v>
      </c>
      <c r="Q1172">
        <f t="shared" si="312"/>
        <v>3.0000000000000001E-3</v>
      </c>
      <c r="R1172" s="1" t="str">
        <f t="shared" si="313"/>
        <v>贵</v>
      </c>
    </row>
    <row r="1173" spans="1:18">
      <c r="A1173" s="3">
        <f>信用曲线—价格!A1172</f>
        <v>46274</v>
      </c>
      <c r="B1173" s="14">
        <f>信用曲线—价格!D1172</f>
        <v>1.9754</v>
      </c>
      <c r="C1173" s="14">
        <f t="shared" si="301"/>
        <v>2.0587766666666663</v>
      </c>
      <c r="D1173" s="14">
        <f t="shared" si="302"/>
        <v>3.7167770650675891E-2</v>
      </c>
      <c r="E1173" s="14">
        <f t="shared" si="303"/>
        <v>2.133112207968018</v>
      </c>
      <c r="F1173" s="14">
        <f t="shared" si="304"/>
        <v>1.9844411253653145</v>
      </c>
      <c r="G1173" s="17">
        <f t="shared" si="305"/>
        <v>-6.0812938246203485</v>
      </c>
      <c r="H1173" s="17">
        <f>信用曲线—价格!H1172</f>
        <v>31.120000000000015</v>
      </c>
      <c r="I1173" s="17">
        <f t="shared" si="306"/>
        <v>39.090166666666661</v>
      </c>
      <c r="J1173" s="17">
        <f t="shared" si="307"/>
        <v>3.1157236511052311</v>
      </c>
      <c r="K1173" s="17">
        <f t="shared" si="308"/>
        <v>45.321613968877124</v>
      </c>
      <c r="L1173" s="17">
        <f t="shared" si="309"/>
        <v>32.858719364456199</v>
      </c>
      <c r="M1173" s="17">
        <f t="shared" si="310"/>
        <v>-13.95116800425652</v>
      </c>
      <c r="N1173" s="17">
        <f t="shared" si="311"/>
        <v>-10.016230914438434</v>
      </c>
      <c r="O1173" s="18">
        <f>IFERROR(_xlfn.PERCENTRANK.EXC(INDEX(B:B, MAX(4, ROW()-251)):INDEX(B:B, ROW()), B1173), "")</f>
        <v>3.0000000000000001E-3</v>
      </c>
      <c r="P1173" s="18">
        <f>IFERROR(_xlfn.PERCENTRANK.EXC(INDEX(H:H, MAX(4, ROW()-251)):INDEX(H:H, ROW()), H1173), "")</f>
        <v>3.0000000000000001E-3</v>
      </c>
      <c r="Q1173">
        <f t="shared" si="312"/>
        <v>3.0000000000000001E-3</v>
      </c>
      <c r="R1173" s="1" t="str">
        <f t="shared" si="313"/>
        <v>贵</v>
      </c>
    </row>
    <row r="1174" spans="1:18">
      <c r="A1174" s="3">
        <f>信用曲线—价格!A1173</f>
        <v>46275</v>
      </c>
      <c r="B1174" s="14">
        <f>信用曲线—价格!D1173</f>
        <v>1.9601999999999999</v>
      </c>
      <c r="C1174" s="14">
        <f t="shared" si="301"/>
        <v>2.0562983333333329</v>
      </c>
      <c r="D1174" s="14">
        <f t="shared" si="302"/>
        <v>3.8695164554334263E-2</v>
      </c>
      <c r="E1174" s="14">
        <f t="shared" si="303"/>
        <v>2.1336886624420015</v>
      </c>
      <c r="F1174" s="14">
        <f t="shared" si="304"/>
        <v>1.9789080042246643</v>
      </c>
      <c r="G1174" s="17">
        <f t="shared" si="305"/>
        <v>-12.086784253362756</v>
      </c>
      <c r="H1174" s="17">
        <f>信用曲线—价格!H1173</f>
        <v>29.349999999999987</v>
      </c>
      <c r="I1174" s="17">
        <f t="shared" si="306"/>
        <v>38.888499999999993</v>
      </c>
      <c r="J1174" s="17">
        <f t="shared" si="307"/>
        <v>3.343646048598012</v>
      </c>
      <c r="K1174" s="17">
        <f t="shared" si="308"/>
        <v>45.575792097196015</v>
      </c>
      <c r="L1174" s="17">
        <f t="shared" si="309"/>
        <v>32.201207902803972</v>
      </c>
      <c r="M1174" s="17">
        <f t="shared" si="310"/>
        <v>-21.318105006954127</v>
      </c>
      <c r="N1174" s="17">
        <f t="shared" si="311"/>
        <v>-16.702444630158443</v>
      </c>
      <c r="O1174" s="18">
        <f>IFERROR(_xlfn.PERCENTRANK.EXC(INDEX(B:B, MAX(4, ROW()-251)):INDEX(B:B, ROW()), B1174), "")</f>
        <v>3.0000000000000001E-3</v>
      </c>
      <c r="P1174" s="18">
        <f>IFERROR(_xlfn.PERCENTRANK.EXC(INDEX(H:H, MAX(4, ROW()-251)):INDEX(H:H, ROW()), H1174), "")</f>
        <v>3.0000000000000001E-3</v>
      </c>
      <c r="Q1174">
        <f t="shared" si="312"/>
        <v>3.0000000000000001E-3</v>
      </c>
      <c r="R1174" s="1" t="str">
        <f t="shared" si="313"/>
        <v>贵</v>
      </c>
    </row>
    <row r="1175" spans="1:18">
      <c r="A1175" s="3">
        <f>信用曲线—价格!A1174</f>
        <v>46276</v>
      </c>
      <c r="B1175" s="14">
        <f>信用曲线—价格!D1174</f>
        <v>1.9652000000000001</v>
      </c>
      <c r="C1175" s="14">
        <f t="shared" si="301"/>
        <v>2.0538799999999995</v>
      </c>
      <c r="D1175" s="14">
        <f t="shared" si="302"/>
        <v>3.9781917363954991E-2</v>
      </c>
      <c r="E1175" s="14">
        <f t="shared" si="303"/>
        <v>2.1334438347279097</v>
      </c>
      <c r="F1175" s="14">
        <f t="shared" si="304"/>
        <v>1.9743161652720895</v>
      </c>
      <c r="G1175" s="17">
        <f t="shared" si="305"/>
        <v>-5.7288372935169924</v>
      </c>
      <c r="H1175" s="17">
        <f>信用曲线—价格!H1174</f>
        <v>29.220000000000002</v>
      </c>
      <c r="I1175" s="17">
        <f t="shared" si="306"/>
        <v>38.671333333333322</v>
      </c>
      <c r="J1175" s="17">
        <f t="shared" si="307"/>
        <v>3.5390525719950316</v>
      </c>
      <c r="K1175" s="17">
        <f t="shared" si="308"/>
        <v>45.749438477323388</v>
      </c>
      <c r="L1175" s="17">
        <f t="shared" si="309"/>
        <v>31.593228189343257</v>
      </c>
      <c r="M1175" s="17">
        <f t="shared" si="310"/>
        <v>-16.764572869889722</v>
      </c>
      <c r="N1175" s="17">
        <f t="shared" si="311"/>
        <v>-11.246705081703357</v>
      </c>
      <c r="O1175" s="18">
        <f>IFERROR(_xlfn.PERCENTRANK.EXC(INDEX(B:B, MAX(4, ROW()-251)):INDEX(B:B, ROW()), B1175), "")</f>
        <v>7.0000000000000001E-3</v>
      </c>
      <c r="P1175" s="18">
        <f>IFERROR(_xlfn.PERCENTRANK.EXC(INDEX(H:H, MAX(4, ROW()-251)):INDEX(H:H, ROW()), H1175), "")</f>
        <v>3.0000000000000001E-3</v>
      </c>
      <c r="Q1175">
        <f t="shared" si="312"/>
        <v>5.0000000000000001E-3</v>
      </c>
      <c r="R1175" s="1" t="str">
        <f t="shared" si="313"/>
        <v>贵</v>
      </c>
    </row>
    <row r="1176" spans="1:18">
      <c r="A1176" s="3">
        <f>信用曲线—价格!A1175</f>
        <v>46279</v>
      </c>
      <c r="B1176" s="14">
        <f>信用曲线—价格!D1175</f>
        <v>1.9683999999999999</v>
      </c>
      <c r="C1176" s="14">
        <f t="shared" si="301"/>
        <v>2.0515716666666663</v>
      </c>
      <c r="D1176" s="14">
        <f t="shared" si="302"/>
        <v>4.0661784380909179E-2</v>
      </c>
      <c r="E1176" s="14">
        <f t="shared" si="303"/>
        <v>2.1328952354284847</v>
      </c>
      <c r="F1176" s="14">
        <f t="shared" si="304"/>
        <v>1.970248097904848</v>
      </c>
      <c r="G1176" s="17">
        <f t="shared" si="305"/>
        <v>-1.1362621765043381</v>
      </c>
      <c r="H1176" s="17">
        <f>信用曲线—价格!H1175</f>
        <v>29.669999999999995</v>
      </c>
      <c r="I1176" s="17">
        <f t="shared" si="306"/>
        <v>38.473499999999987</v>
      </c>
      <c r="J1176" s="17">
        <f t="shared" si="307"/>
        <v>3.7039034951919216</v>
      </c>
      <c r="K1176" s="17">
        <f t="shared" si="308"/>
        <v>45.881306990383834</v>
      </c>
      <c r="L1176" s="17">
        <f t="shared" si="309"/>
        <v>31.065693009616144</v>
      </c>
      <c r="M1176" s="17">
        <f t="shared" si="310"/>
        <v>-9.4204196426007982</v>
      </c>
      <c r="N1176" s="17">
        <f t="shared" si="311"/>
        <v>-5.2783409095525684</v>
      </c>
      <c r="O1176" s="18">
        <f>IFERROR(_xlfn.PERCENTRANK.EXC(INDEX(B:B, MAX(4, ROW()-251)):INDEX(B:B, ROW()), B1176), "")</f>
        <v>1.0999999999999999E-2</v>
      </c>
      <c r="P1176" s="18">
        <f>IFERROR(_xlfn.PERCENTRANK.EXC(INDEX(H:H, MAX(4, ROW()-251)):INDEX(H:H, ROW()), H1176), "")</f>
        <v>1.0999999999999999E-2</v>
      </c>
      <c r="Q1176">
        <f t="shared" si="312"/>
        <v>1.0999999999999999E-2</v>
      </c>
      <c r="R1176" s="1" t="str">
        <f t="shared" si="313"/>
        <v>贵</v>
      </c>
    </row>
    <row r="1177" spans="1:18">
      <c r="A1177" s="3">
        <f>信用曲线—价格!A1176</f>
        <v>46280</v>
      </c>
      <c r="B1177" s="14">
        <f>信用曲线—价格!D1176</f>
        <v>1.9612000000000001</v>
      </c>
      <c r="C1177" s="14">
        <f t="shared" si="301"/>
        <v>2.0491366666666662</v>
      </c>
      <c r="D1177" s="14">
        <f t="shared" si="302"/>
        <v>4.1630965360367984E-2</v>
      </c>
      <c r="E1177" s="14">
        <f t="shared" si="303"/>
        <v>2.132398597387402</v>
      </c>
      <c r="F1177" s="14">
        <f t="shared" si="304"/>
        <v>1.9658747359459301</v>
      </c>
      <c r="G1177" s="17">
        <f t="shared" si="305"/>
        <v>-2.807246904716457</v>
      </c>
      <c r="H1177" s="17">
        <f>信用曲线—价格!H1176</f>
        <v>29.150000000000009</v>
      </c>
      <c r="I1177" s="17">
        <f t="shared" si="306"/>
        <v>38.276833333333329</v>
      </c>
      <c r="J1177" s="17">
        <f t="shared" si="307"/>
        <v>3.8792999069885785</v>
      </c>
      <c r="K1177" s="17">
        <f t="shared" si="308"/>
        <v>46.035433147310485</v>
      </c>
      <c r="L1177" s="17">
        <f t="shared" si="309"/>
        <v>30.518233519356173</v>
      </c>
      <c r="M1177" s="17">
        <f t="shared" si="310"/>
        <v>-8.8175286273386853</v>
      </c>
      <c r="N1177" s="17">
        <f t="shared" si="311"/>
        <v>-5.8123877660275713</v>
      </c>
      <c r="O1177" s="18">
        <f>IFERROR(_xlfn.PERCENTRANK.EXC(INDEX(B:B, MAX(4, ROW()-251)):INDEX(B:B, ROW()), B1177), "")</f>
        <v>7.0000000000000001E-3</v>
      </c>
      <c r="P1177" s="18">
        <f>IFERROR(_xlfn.PERCENTRANK.EXC(INDEX(H:H, MAX(4, ROW()-251)):INDEX(H:H, ROW()), H1177), "")</f>
        <v>3.0000000000000001E-3</v>
      </c>
      <c r="Q1177">
        <f t="shared" si="312"/>
        <v>5.0000000000000001E-3</v>
      </c>
      <c r="R1177" s="1" t="str">
        <f t="shared" si="313"/>
        <v>贵</v>
      </c>
    </row>
    <row r="1178" spans="1:18">
      <c r="A1178" s="3">
        <f>信用曲线—价格!A1177</f>
        <v>46281</v>
      </c>
      <c r="B1178" s="14">
        <f>信用曲线—价格!D1177</f>
        <v>1.9633</v>
      </c>
      <c r="C1178" s="14">
        <f t="shared" si="301"/>
        <v>2.046653333333333</v>
      </c>
      <c r="D1178" s="14">
        <f t="shared" si="302"/>
        <v>4.2238910756799891E-2</v>
      </c>
      <c r="E1178" s="14">
        <f t="shared" si="303"/>
        <v>2.1311311548469329</v>
      </c>
      <c r="F1178" s="14">
        <f t="shared" si="304"/>
        <v>1.9621755118197333</v>
      </c>
      <c r="G1178" s="17">
        <f t="shared" si="305"/>
        <v>0.66555230717316294</v>
      </c>
      <c r="H1178" s="17">
        <f>信用曲线—价格!H1177</f>
        <v>29.560000000000009</v>
      </c>
      <c r="I1178" s="17">
        <f t="shared" si="306"/>
        <v>38.076666666666668</v>
      </c>
      <c r="J1178" s="17">
        <f t="shared" si="307"/>
        <v>4.0140079580148065</v>
      </c>
      <c r="K1178" s="17">
        <f t="shared" si="308"/>
        <v>46.104682582696284</v>
      </c>
      <c r="L1178" s="17">
        <f t="shared" si="309"/>
        <v>30.048650750637055</v>
      </c>
      <c r="M1178" s="17">
        <f t="shared" si="310"/>
        <v>-3.043409204392284</v>
      </c>
      <c r="N1178" s="17">
        <f t="shared" si="311"/>
        <v>-1.1889284486095606</v>
      </c>
      <c r="O1178" s="18">
        <f>IFERROR(_xlfn.PERCENTRANK.EXC(INDEX(B:B, MAX(4, ROW()-251)):INDEX(B:B, ROW()), B1178), "")</f>
        <v>1.0999999999999999E-2</v>
      </c>
      <c r="P1178" s="18">
        <f>IFERROR(_xlfn.PERCENTRANK.EXC(INDEX(H:H, MAX(4, ROW()-251)):INDEX(H:H, ROW()), H1178), "")</f>
        <v>1.4999999999999999E-2</v>
      </c>
      <c r="Q1178">
        <f t="shared" si="312"/>
        <v>1.2999999999999999E-2</v>
      </c>
      <c r="R1178" s="1" t="str">
        <f t="shared" si="313"/>
        <v>贵</v>
      </c>
    </row>
    <row r="1179" spans="1:18">
      <c r="A1179" s="3">
        <f>信用曲线—价格!A1178</f>
        <v>46282</v>
      </c>
      <c r="B1179" s="14">
        <f>信用曲线—价格!D1178</f>
        <v>1.9615</v>
      </c>
      <c r="C1179" s="14">
        <f t="shared" si="301"/>
        <v>2.0441949999999998</v>
      </c>
      <c r="D1179" s="14">
        <f t="shared" si="302"/>
        <v>4.2836858139390185E-2</v>
      </c>
      <c r="E1179" s="14">
        <f t="shared" si="303"/>
        <v>2.1298687162787799</v>
      </c>
      <c r="F1179" s="14">
        <f t="shared" si="304"/>
        <v>1.9585212837212194</v>
      </c>
      <c r="G1179" s="17">
        <f t="shared" si="305"/>
        <v>1.7384073016559618</v>
      </c>
      <c r="H1179" s="17">
        <f>信用曲线—价格!H1178</f>
        <v>29.65</v>
      </c>
      <c r="I1179" s="17">
        <f t="shared" si="306"/>
        <v>37.858499999999999</v>
      </c>
      <c r="J1179" s="17">
        <f t="shared" si="307"/>
        <v>4.110815756810501</v>
      </c>
      <c r="K1179" s="17">
        <f t="shared" si="308"/>
        <v>46.080131513620998</v>
      </c>
      <c r="L1179" s="17">
        <f t="shared" si="309"/>
        <v>29.636868486378997</v>
      </c>
      <c r="M1179" s="17">
        <f t="shared" si="310"/>
        <v>7.9859536390349983E-2</v>
      </c>
      <c r="N1179" s="17">
        <f t="shared" si="311"/>
        <v>0.90913341902315592</v>
      </c>
      <c r="O1179" s="18">
        <f>IFERROR(_xlfn.PERCENTRANK.EXC(INDEX(B:B, MAX(4, ROW()-251)):INDEX(B:B, ROW()), B1179), "")</f>
        <v>1.0999999999999999E-2</v>
      </c>
      <c r="P1179" s="18">
        <f>IFERROR(_xlfn.PERCENTRANK.EXC(INDEX(H:H, MAX(4, ROW()-251)):INDEX(H:H, ROW()), H1179), "")</f>
        <v>1.9E-2</v>
      </c>
      <c r="Q1179">
        <f t="shared" si="312"/>
        <v>1.4999999999999999E-2</v>
      </c>
      <c r="R1179" s="1" t="str">
        <f t="shared" si="313"/>
        <v>贵</v>
      </c>
    </row>
    <row r="1180" spans="1:18">
      <c r="A1180" s="3">
        <f>信用曲线—价格!A1179</f>
        <v>46283</v>
      </c>
      <c r="B1180" s="14">
        <f>信用曲线—价格!D1179</f>
        <v>1.9529000000000001</v>
      </c>
      <c r="C1180" s="14">
        <f t="shared" si="301"/>
        <v>2.0416266666666663</v>
      </c>
      <c r="D1180" s="14">
        <f t="shared" si="302"/>
        <v>4.361995293194746E-2</v>
      </c>
      <c r="E1180" s="14">
        <f t="shared" si="303"/>
        <v>2.1288665725305611</v>
      </c>
      <c r="F1180" s="14">
        <f t="shared" si="304"/>
        <v>1.9543867608027714</v>
      </c>
      <c r="G1180" s="17">
        <f t="shared" si="305"/>
        <v>-0.85211050381625686</v>
      </c>
      <c r="H1180" s="17">
        <f>信用曲线—价格!H1179</f>
        <v>29.42</v>
      </c>
      <c r="I1180" s="17">
        <f t="shared" si="306"/>
        <v>37.638999999999996</v>
      </c>
      <c r="J1180" s="17">
        <f t="shared" si="307"/>
        <v>4.204436599432178</v>
      </c>
      <c r="K1180" s="17">
        <f t="shared" si="308"/>
        <v>46.047873198864352</v>
      </c>
      <c r="L1180" s="17">
        <f t="shared" si="309"/>
        <v>29.23012680113564</v>
      </c>
      <c r="M1180" s="17">
        <f t="shared" si="310"/>
        <v>1.1290050068183022</v>
      </c>
      <c r="N1180" s="17">
        <f t="shared" si="311"/>
        <v>0.13844725150102266</v>
      </c>
      <c r="O1180" s="18">
        <f>IFERROR(_xlfn.PERCENTRANK.EXC(INDEX(B:B, MAX(4, ROW()-251)):INDEX(B:B, ROW()), B1180), "")</f>
        <v>3.0000000000000001E-3</v>
      </c>
      <c r="P1180" s="18">
        <f>IFERROR(_xlfn.PERCENTRANK.EXC(INDEX(H:H, MAX(4, ROW()-251)):INDEX(H:H, ROW()), H1180), "")</f>
        <v>1.4999999999999999E-2</v>
      </c>
      <c r="Q1180">
        <f t="shared" si="312"/>
        <v>8.9999999999999993E-3</v>
      </c>
      <c r="R1180" s="1" t="str">
        <f t="shared" si="313"/>
        <v>贵</v>
      </c>
    </row>
    <row r="1181" spans="1:18">
      <c r="A1181" s="3">
        <f>信用曲线—价格!A1180</f>
        <v>46285</v>
      </c>
      <c r="B1181" s="14">
        <f>信用曲线—价格!D1180</f>
        <v>1.9444999999999999</v>
      </c>
      <c r="C1181" s="14">
        <f t="shared" si="301"/>
        <v>2.0390599999999997</v>
      </c>
      <c r="D1181" s="14">
        <f t="shared" si="302"/>
        <v>4.4733308410578501E-2</v>
      </c>
      <c r="E1181" s="14">
        <f t="shared" si="303"/>
        <v>2.1285266168211567</v>
      </c>
      <c r="F1181" s="14">
        <f t="shared" si="304"/>
        <v>1.9495933831788426</v>
      </c>
      <c r="G1181" s="17">
        <f t="shared" si="305"/>
        <v>-2.8465272074746575</v>
      </c>
      <c r="H1181" s="17">
        <f>信用曲线—价格!H1180</f>
        <v>28.63</v>
      </c>
      <c r="I1181" s="17">
        <f t="shared" si="306"/>
        <v>37.388833333333331</v>
      </c>
      <c r="J1181" s="17">
        <f t="shared" si="307"/>
        <v>4.2870617695362885</v>
      </c>
      <c r="K1181" s="17">
        <f t="shared" si="308"/>
        <v>45.962956872405911</v>
      </c>
      <c r="L1181" s="17">
        <f t="shared" si="309"/>
        <v>28.814709794260754</v>
      </c>
      <c r="M1181" s="17">
        <f t="shared" si="310"/>
        <v>-1.077135134681847</v>
      </c>
      <c r="N1181" s="17">
        <f t="shared" si="311"/>
        <v>-1.9618311710782521</v>
      </c>
      <c r="O1181" s="18">
        <f>IFERROR(_xlfn.PERCENTRANK.EXC(INDEX(B:B, MAX(4, ROW()-251)):INDEX(B:B, ROW()), B1181), "")</f>
        <v>3.0000000000000001E-3</v>
      </c>
      <c r="P1181" s="18">
        <f>IFERROR(_xlfn.PERCENTRANK.EXC(INDEX(H:H, MAX(4, ROW()-251)):INDEX(H:H, ROW()), H1181), "")</f>
        <v>3.0000000000000001E-3</v>
      </c>
      <c r="Q1181">
        <f t="shared" si="312"/>
        <v>3.0000000000000001E-3</v>
      </c>
      <c r="R1181" s="1" t="str">
        <f t="shared" si="313"/>
        <v>贵</v>
      </c>
    </row>
    <row r="1182" spans="1:18">
      <c r="A1182" s="3">
        <f>信用曲线—价格!A1181</f>
        <v>46286</v>
      </c>
      <c r="B1182" s="14">
        <f>信用曲线—价格!D1181</f>
        <v>1.9218999999999999</v>
      </c>
      <c r="C1182" s="14">
        <f t="shared" si="301"/>
        <v>2.0361833333333328</v>
      </c>
      <c r="D1182" s="14">
        <f t="shared" si="302"/>
        <v>4.6617706560616576E-2</v>
      </c>
      <c r="E1182" s="14">
        <f t="shared" si="303"/>
        <v>2.129418746454566</v>
      </c>
      <c r="F1182" s="14">
        <f t="shared" si="304"/>
        <v>1.9429479202120996</v>
      </c>
      <c r="G1182" s="17">
        <f t="shared" si="305"/>
        <v>-11.287513782306753</v>
      </c>
      <c r="H1182" s="17">
        <f>信用曲线—价格!H1181</f>
        <v>26.580000000000005</v>
      </c>
      <c r="I1182" s="17">
        <f t="shared" si="306"/>
        <v>37.131999999999998</v>
      </c>
      <c r="J1182" s="17">
        <f t="shared" si="307"/>
        <v>4.4646585080183003</v>
      </c>
      <c r="K1182" s="17">
        <f t="shared" si="308"/>
        <v>46.061317016036597</v>
      </c>
      <c r="L1182" s="17">
        <f t="shared" si="309"/>
        <v>28.202682983963399</v>
      </c>
      <c r="M1182" s="17">
        <f t="shared" si="310"/>
        <v>-9.0862659543229203</v>
      </c>
      <c r="N1182" s="17">
        <f t="shared" si="311"/>
        <v>-10.186889868314836</v>
      </c>
      <c r="O1182" s="18">
        <f>IFERROR(_xlfn.PERCENTRANK.EXC(INDEX(B:B, MAX(4, ROW()-251)):INDEX(B:B, ROW()), B1182), "")</f>
        <v>3.0000000000000001E-3</v>
      </c>
      <c r="P1182" s="18">
        <f>IFERROR(_xlfn.PERCENTRANK.EXC(INDEX(H:H, MAX(4, ROW()-251)):INDEX(H:H, ROW()), H1182), "")</f>
        <v>3.0000000000000001E-3</v>
      </c>
      <c r="Q1182">
        <f t="shared" si="312"/>
        <v>3.0000000000000001E-3</v>
      </c>
      <c r="R1182" s="1" t="str">
        <f t="shared" si="313"/>
        <v>贵</v>
      </c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82"/>
  <sheetViews>
    <sheetView tabSelected="1" workbookViewId="0">
      <pane xSplit="1" ySplit="3" topLeftCell="B1161" activePane="bottomRight" state="frozen"/>
      <selection pane="topRight" activeCell="B1" sqref="B1"/>
      <selection pane="bottomLeft" activeCell="A4" sqref="A4"/>
      <selection pane="bottomRight" activeCell="A1174" sqref="A1174:L1182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  <row r="1168" spans="1:12">
      <c r="A1168" s="21">
        <f>RRG趋势计算!A1167</f>
        <v>46267</v>
      </c>
      <c r="B1168" s="1" t="str">
        <f>RRG趋势计算!H1167</f>
        <v>减弱</v>
      </c>
      <c r="C1168" s="1" t="str">
        <f>价格指标计算!R1168</f>
        <v>贵</v>
      </c>
      <c r="D1168" s="1" t="str">
        <f>RRG趋势计算!F1167</f>
        <v>上升</v>
      </c>
      <c r="E1168" s="1" t="str">
        <f t="shared" ref="E1168:E1175" si="73">IF(OR(B1168="",C1168="",D1168=""),"",IF(D1168="上升","持仓",IF(AND(B1168="减弱",C1168="贵"),"空仓",IF(AND(B1168="减弱",C1168="中性"),"空仓",IF(AND(B1168="改善",C1168="贵"),"空仓",IF(B1168="滞后","空仓","持仓"))))))</f>
        <v>持仓</v>
      </c>
      <c r="I1168" s="1">
        <f>价格指标计算!B1168</f>
        <v>2.0093000000000001</v>
      </c>
      <c r="J1168" s="1">
        <f>价格指标计算!Q1168</f>
        <v>1.7000000000000001E-2</v>
      </c>
      <c r="K1168" s="1">
        <f>RRG趋势计算!D1167</f>
        <v>0.42200524720299448</v>
      </c>
      <c r="L1168" s="1">
        <f>RRG趋势计算!G1167</f>
        <v>-8.5005556092099255E-2</v>
      </c>
    </row>
    <row r="1169" spans="1:12">
      <c r="A1169" s="21">
        <f>RRG趋势计算!A1168</f>
        <v>46268</v>
      </c>
      <c r="B1169" s="1" t="str">
        <f>RRG趋势计算!H1168</f>
        <v>减弱</v>
      </c>
      <c r="C1169" s="1" t="str">
        <f>价格指标计算!R1169</f>
        <v>贵</v>
      </c>
      <c r="D1169" s="1" t="str">
        <f>RRG趋势计算!F1168</f>
        <v>上升</v>
      </c>
      <c r="E1169" s="1" t="str">
        <f t="shared" si="73"/>
        <v>持仓</v>
      </c>
      <c r="I1169" s="1">
        <f>价格指标计算!B1169</f>
        <v>2.0089000000000001</v>
      </c>
      <c r="J1169" s="1">
        <f>价格指标计算!Q1169</f>
        <v>2.5000000000000001E-2</v>
      </c>
      <c r="K1169" s="1">
        <f>RRG趋势计算!D1168</f>
        <v>0.4450839692158981</v>
      </c>
      <c r="L1169" s="1">
        <f>RRG趋势计算!G1168</f>
        <v>-0.10274562656189534</v>
      </c>
    </row>
    <row r="1170" spans="1:12">
      <c r="A1170" s="21">
        <f>RRG趋势计算!A1169</f>
        <v>46269</v>
      </c>
      <c r="B1170" s="1" t="str">
        <f>RRG趋势计算!H1169</f>
        <v>减弱</v>
      </c>
      <c r="C1170" s="1" t="str">
        <f>价格指标计算!R1170</f>
        <v>贵</v>
      </c>
      <c r="D1170" s="1" t="str">
        <f>RRG趋势计算!F1169</f>
        <v>上升</v>
      </c>
      <c r="E1170" s="1" t="str">
        <f t="shared" si="73"/>
        <v>持仓</v>
      </c>
      <c r="I1170" s="1">
        <f>价格指标计算!B1170</f>
        <v>1.9977</v>
      </c>
      <c r="J1170" s="1">
        <f>价格指标计算!Q1170</f>
        <v>6.9999999999999993E-3</v>
      </c>
      <c r="K1170" s="1">
        <f>RRG趋势计算!D1169</f>
        <v>0.44081532174427007</v>
      </c>
      <c r="L1170" s="1">
        <f>RRG趋势计算!G1169</f>
        <v>-0.19321362118696062</v>
      </c>
    </row>
    <row r="1171" spans="1:12">
      <c r="A1171" s="21">
        <f>RRG趋势计算!A1170</f>
        <v>46272</v>
      </c>
      <c r="B1171" s="1" t="str">
        <f>RRG趋势计算!H1170</f>
        <v>减弱</v>
      </c>
      <c r="C1171" s="1" t="str">
        <f>价格指标计算!R1171</f>
        <v>贵</v>
      </c>
      <c r="D1171" s="1" t="str">
        <f>RRG趋势计算!F1170</f>
        <v>上升</v>
      </c>
      <c r="E1171" s="1" t="str">
        <f t="shared" si="73"/>
        <v>持仓</v>
      </c>
      <c r="I1171" s="1">
        <f>价格指标计算!B1171</f>
        <v>1.9941</v>
      </c>
      <c r="J1171" s="1">
        <f>价格指标计算!Q1171</f>
        <v>6.9999999999999993E-3</v>
      </c>
      <c r="K1171" s="1">
        <f>RRG趋势计算!D1170</f>
        <v>0.44234549990755934</v>
      </c>
      <c r="L1171" s="1">
        <f>RRG趋势计算!G1170</f>
        <v>-0.21711923884133455</v>
      </c>
    </row>
    <row r="1172" spans="1:12">
      <c r="A1172" s="21">
        <f>RRG趋势计算!A1171</f>
        <v>46273</v>
      </c>
      <c r="B1172" s="1" t="str">
        <f>RRG趋势计算!H1171</f>
        <v>减弱</v>
      </c>
      <c r="C1172" s="1" t="str">
        <f>价格指标计算!R1172</f>
        <v>贵</v>
      </c>
      <c r="D1172" s="1" t="str">
        <f>RRG趋势计算!F1171</f>
        <v>上升</v>
      </c>
      <c r="E1172" s="1" t="str">
        <f t="shared" si="73"/>
        <v>持仓</v>
      </c>
      <c r="I1172" s="1">
        <f>价格指标计算!B1172</f>
        <v>1.9793000000000001</v>
      </c>
      <c r="J1172" s="1">
        <f>价格指标计算!Q1172</f>
        <v>3.0000000000000001E-3</v>
      </c>
      <c r="K1172" s="1">
        <f>RRG趋势计算!D1171</f>
        <v>0.41487151895323038</v>
      </c>
      <c r="L1172" s="1">
        <f>RRG趋势计算!G1171</f>
        <v>-0.18894013064914006</v>
      </c>
    </row>
    <row r="1173" spans="1:12">
      <c r="A1173" s="21">
        <f>RRG趋势计算!A1172</f>
        <v>46274</v>
      </c>
      <c r="B1173" s="1" t="str">
        <f>RRG趋势计算!H1172</f>
        <v>减弱</v>
      </c>
      <c r="C1173" s="1" t="str">
        <f>价格指标计算!R1173</f>
        <v>贵</v>
      </c>
      <c r="D1173" s="1" t="str">
        <f>RRG趋势计算!F1172</f>
        <v>上升</v>
      </c>
      <c r="E1173" s="1" t="str">
        <f t="shared" si="73"/>
        <v>持仓</v>
      </c>
      <c r="I1173" s="1">
        <f>价格指标计算!B1173</f>
        <v>1.9754</v>
      </c>
      <c r="J1173" s="1">
        <f>价格指标计算!Q1173</f>
        <v>3.0000000000000001E-3</v>
      </c>
      <c r="K1173" s="1">
        <f>RRG趋势计算!D1172</f>
        <v>0.41033898001081592</v>
      </c>
      <c r="L1173" s="1">
        <f>RRG趋势计算!G1172</f>
        <v>-0.12878656394987864</v>
      </c>
    </row>
    <row r="1174" spans="1:12">
      <c r="A1174" s="21">
        <f>RRG趋势计算!A1173</f>
        <v>46275</v>
      </c>
      <c r="B1174" s="1" t="str">
        <f>RRG趋势计算!H1173</f>
        <v>减弱</v>
      </c>
      <c r="C1174" s="1" t="str">
        <f>价格指标计算!R1174</f>
        <v>贵</v>
      </c>
      <c r="D1174" s="1" t="str">
        <f>RRG趋势计算!F1173</f>
        <v>上升</v>
      </c>
      <c r="E1174" s="1" t="str">
        <f t="shared" si="73"/>
        <v>持仓</v>
      </c>
      <c r="I1174" s="1">
        <f>价格指标计算!B1174</f>
        <v>1.9601999999999999</v>
      </c>
      <c r="J1174" s="1">
        <f>价格指标计算!Q1174</f>
        <v>3.0000000000000001E-3</v>
      </c>
      <c r="K1174" s="1">
        <f>RRG趋势计算!D1173</f>
        <v>0.41679031374768361</v>
      </c>
      <c r="L1174" s="1">
        <f>RRG趋势计算!G1173</f>
        <v>-0.14678309784137422</v>
      </c>
    </row>
    <row r="1175" spans="1:12">
      <c r="A1175" s="21">
        <f>RRG趋势计算!A1174</f>
        <v>46276</v>
      </c>
      <c r="B1175" s="1" t="str">
        <f>RRG趋势计算!H1174</f>
        <v>减弱</v>
      </c>
      <c r="C1175" s="1" t="str">
        <f>价格指标计算!R1175</f>
        <v>贵</v>
      </c>
      <c r="D1175" s="1" t="str">
        <f>RRG趋势计算!F1174</f>
        <v>上升</v>
      </c>
      <c r="E1175" s="1" t="str">
        <f t="shared" si="73"/>
        <v>持仓</v>
      </c>
      <c r="I1175" s="1">
        <f>价格指标计算!B1175</f>
        <v>1.9652000000000001</v>
      </c>
      <c r="J1175" s="1">
        <f>价格指标计算!Q1175</f>
        <v>5.0000000000000001E-3</v>
      </c>
      <c r="K1175" s="1">
        <f>RRG趋势计算!D1174</f>
        <v>0.39161461809584797</v>
      </c>
      <c r="L1175" s="1">
        <f>RRG趋势计算!G1174</f>
        <v>-0.17010141144575552</v>
      </c>
    </row>
    <row r="1176" spans="1:12">
      <c r="A1176" s="21">
        <f>RRG趋势计算!A1175</f>
        <v>46279</v>
      </c>
      <c r="B1176" s="1" t="str">
        <f>RRG趋势计算!H1175</f>
        <v>减弱</v>
      </c>
      <c r="C1176" s="1" t="str">
        <f>价格指标计算!R1176</f>
        <v>贵</v>
      </c>
      <c r="D1176" s="1" t="str">
        <f>RRG趋势计算!F1175</f>
        <v>上升</v>
      </c>
      <c r="E1176" s="1" t="str">
        <f t="shared" ref="E1176:E1182" si="74">IF(OR(B1176="",C1176="",D1176=""),"",IF(D1176="上升","持仓",IF(AND(B1176="减弱",C1176="贵"),"空仓",IF(AND(B1176="减弱",C1176="中性"),"空仓",IF(AND(B1176="改善",C1176="贵"),"空仓",IF(B1176="滞后","空仓","持仓"))))))</f>
        <v>持仓</v>
      </c>
      <c r="I1176" s="1">
        <f>价格指标计算!B1176</f>
        <v>1.9683999999999999</v>
      </c>
      <c r="J1176" s="1">
        <f>价格指标计算!Q1176</f>
        <v>1.0999999999999999E-2</v>
      </c>
      <c r="K1176" s="1">
        <f>RRG趋势计算!D1175</f>
        <v>0.36451629089515603</v>
      </c>
      <c r="L1176" s="1">
        <f>RRG趋势计算!G1175</f>
        <v>-0.15491445744717502</v>
      </c>
    </row>
    <row r="1177" spans="1:12">
      <c r="A1177" s="21">
        <f>RRG趋势计算!A1176</f>
        <v>46280</v>
      </c>
      <c r="B1177" s="1" t="str">
        <f>RRG趋势计算!H1176</f>
        <v>减弱</v>
      </c>
      <c r="C1177" s="1" t="str">
        <f>价格指标计算!R1177</f>
        <v>贵</v>
      </c>
      <c r="D1177" s="1" t="str">
        <f>RRG趋势计算!F1176</f>
        <v>上升</v>
      </c>
      <c r="E1177" s="1" t="str">
        <f t="shared" si="74"/>
        <v>持仓</v>
      </c>
      <c r="I1177" s="1">
        <f>价格指标计算!B1177</f>
        <v>1.9612000000000001</v>
      </c>
      <c r="J1177" s="1">
        <f>价格指标计算!Q1177</f>
        <v>5.0000000000000001E-3</v>
      </c>
      <c r="K1177" s="1">
        <f>RRG趋势计算!D1176</f>
        <v>0.37226152692844128</v>
      </c>
      <c r="L1177" s="1">
        <f>RRG趋势计算!G1176</f>
        <v>-9.7585553952606041E-2</v>
      </c>
    </row>
    <row r="1178" spans="1:12">
      <c r="A1178" s="21">
        <f>RRG趋势计算!A1177</f>
        <v>46281</v>
      </c>
      <c r="B1178" s="1" t="str">
        <f>RRG趋势计算!H1177</f>
        <v>减弱</v>
      </c>
      <c r="C1178" s="1" t="str">
        <f>价格指标计算!R1178</f>
        <v>贵</v>
      </c>
      <c r="D1178" s="1" t="str">
        <f>RRG趋势计算!F1177</f>
        <v>上升</v>
      </c>
      <c r="E1178" s="1" t="str">
        <f t="shared" si="74"/>
        <v>持仓</v>
      </c>
      <c r="I1178" s="1">
        <f>价格指标计算!B1178</f>
        <v>1.9633</v>
      </c>
      <c r="J1178" s="1">
        <f>价格指标计算!Q1178</f>
        <v>1.2999999999999999E-2</v>
      </c>
      <c r="K1178" s="1">
        <f>RRG趋势计算!D1177</f>
        <v>0.36909037586210225</v>
      </c>
      <c r="L1178" s="1">
        <f>RRG趋势计算!G1177</f>
        <v>-7.9737527119916329E-2</v>
      </c>
    </row>
    <row r="1179" spans="1:12">
      <c r="A1179" s="21">
        <f>RRG趋势计算!A1178</f>
        <v>46282</v>
      </c>
      <c r="B1179" s="1" t="str">
        <f>RRG趋势计算!H1178</f>
        <v>减弱</v>
      </c>
      <c r="C1179" s="1" t="str">
        <f>价格指标计算!R1179</f>
        <v>贵</v>
      </c>
      <c r="D1179" s="1" t="str">
        <f>RRG趋势计算!F1178</f>
        <v>上升</v>
      </c>
      <c r="E1179" s="1" t="str">
        <f t="shared" si="74"/>
        <v>持仓</v>
      </c>
      <c r="I1179" s="1">
        <f>价格指标计算!B1179</f>
        <v>1.9615</v>
      </c>
      <c r="J1179" s="1">
        <f>价格指标计算!Q1179</f>
        <v>1.4999999999999999E-2</v>
      </c>
      <c r="K1179" s="1">
        <f>RRG趋势计算!D1178</f>
        <v>0.39630415571905164</v>
      </c>
      <c r="L1179" s="1">
        <f>RRG趋势计算!G1178</f>
        <v>-6.6109330866548355E-2</v>
      </c>
    </row>
    <row r="1180" spans="1:12">
      <c r="A1180" s="21">
        <f>RRG趋势计算!A1179</f>
        <v>46283</v>
      </c>
      <c r="B1180" s="1" t="str">
        <f>RRG趋势计算!H1179</f>
        <v>减弱</v>
      </c>
      <c r="C1180" s="1" t="str">
        <f>价格指标计算!R1180</f>
        <v>贵</v>
      </c>
      <c r="D1180" s="1" t="str">
        <f>RRG趋势计算!F1179</f>
        <v>上升</v>
      </c>
      <c r="E1180" s="1" t="str">
        <f t="shared" si="74"/>
        <v>持仓</v>
      </c>
      <c r="I1180" s="1">
        <f>价格指标计算!B1180</f>
        <v>1.9529000000000001</v>
      </c>
      <c r="J1180" s="1">
        <f>价格指标计算!Q1180</f>
        <v>8.9999999999999993E-3</v>
      </c>
      <c r="K1180" s="1">
        <f>RRG趋势计算!D1179</f>
        <v>0.4326026264543481</v>
      </c>
      <c r="L1180" s="1">
        <f>RRG趋势计算!G1179</f>
        <v>-9.335427650114525E-3</v>
      </c>
    </row>
    <row r="1181" spans="1:12">
      <c r="A1181" s="21">
        <f>RRG趋势计算!A1180</f>
        <v>46285</v>
      </c>
      <c r="B1181" s="1" t="str">
        <f>RRG趋势计算!H1180</f>
        <v>领先</v>
      </c>
      <c r="C1181" s="1" t="str">
        <f>价格指标计算!R1181</f>
        <v>贵</v>
      </c>
      <c r="D1181" s="1" t="str">
        <f>RRG趋势计算!F1180</f>
        <v>上升</v>
      </c>
      <c r="E1181" s="1" t="str">
        <f t="shared" si="74"/>
        <v>持仓</v>
      </c>
      <c r="I1181" s="1">
        <f>价格指标计算!B1181</f>
        <v>1.9444999999999999</v>
      </c>
      <c r="J1181" s="1">
        <f>价格指标计算!Q1181</f>
        <v>3.0000000000000001E-3</v>
      </c>
      <c r="K1181" s="1">
        <f>RRG趋势计算!D1180</f>
        <v>0.48111566256190397</v>
      </c>
      <c r="L1181" s="1">
        <f>RRG趋势计算!G1180</f>
        <v>5.9110415358909485E-2</v>
      </c>
    </row>
    <row r="1182" spans="1:12">
      <c r="A1182" s="21">
        <f>RRG趋势计算!A1181</f>
        <v>46286</v>
      </c>
      <c r="B1182" s="1" t="str">
        <f>RRG趋势计算!H1181</f>
        <v>领先</v>
      </c>
      <c r="C1182" s="1" t="str">
        <f>价格指标计算!R1182</f>
        <v>贵</v>
      </c>
      <c r="D1182" s="1" t="str">
        <f>RRG趋势计算!F1181</f>
        <v>上升</v>
      </c>
      <c r="E1182" s="1" t="str">
        <f t="shared" si="74"/>
        <v>持仓</v>
      </c>
      <c r="I1182" s="1">
        <f>价格指标计算!B1182</f>
        <v>1.9218999999999999</v>
      </c>
      <c r="J1182" s="1">
        <f>价格指标计算!Q1182</f>
        <v>3.0000000000000001E-3</v>
      </c>
      <c r="K1182" s="1">
        <f>RRG趋势计算!D1181</f>
        <v>0.51425934190580946</v>
      </c>
      <c r="L1182" s="1">
        <f>RRG趋势计算!G1181</f>
        <v>6.9175372689911363E-2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8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39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40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40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24:I24"/>
    <mergeCell ref="A26:I26"/>
    <mergeCell ref="B18:I18"/>
    <mergeCell ref="B19:I19"/>
    <mergeCell ref="B20:I20"/>
    <mergeCell ref="B21:I21"/>
    <mergeCell ref="B22:I22"/>
    <mergeCell ref="B23:I23"/>
    <mergeCell ref="B17:I17"/>
    <mergeCell ref="A1:I1"/>
    <mergeCell ref="A4:D4"/>
    <mergeCell ref="A9:D9"/>
    <mergeCell ref="A15:I15"/>
    <mergeCell ref="B16:I16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2026-09-22T00:53:31Z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