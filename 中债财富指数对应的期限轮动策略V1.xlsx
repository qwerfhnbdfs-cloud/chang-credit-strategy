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182FD1A2-EDC9-4176-AAAB-3AE53C53D244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90" i="8" l="1"/>
  <c r="B1190" i="8"/>
  <c r="E1190" i="8" s="1"/>
  <c r="C1190" i="8"/>
  <c r="D1190" i="8"/>
  <c r="I1190" i="8"/>
  <c r="J1190" i="8"/>
  <c r="K1190" i="8"/>
  <c r="L1190" i="8"/>
  <c r="A1191" i="8"/>
  <c r="B1191" i="8"/>
  <c r="C1191" i="8"/>
  <c r="D1191" i="8"/>
  <c r="E1191" i="8"/>
  <c r="I1191" i="8"/>
  <c r="J1191" i="8"/>
  <c r="K1191" i="8"/>
  <c r="L1191" i="8"/>
  <c r="A1190" i="7"/>
  <c r="B1190" i="7"/>
  <c r="C1190" i="7"/>
  <c r="E1190" i="7" s="1"/>
  <c r="G1190" i="7" s="1"/>
  <c r="D1190" i="7"/>
  <c r="F1190" i="7"/>
  <c r="H1190" i="7"/>
  <c r="I1190" i="7" s="1"/>
  <c r="O1190" i="7"/>
  <c r="A1191" i="7"/>
  <c r="B1191" i="7"/>
  <c r="O1191" i="7" s="1"/>
  <c r="D1191" i="7"/>
  <c r="H1191" i="7"/>
  <c r="A1189" i="6"/>
  <c r="B1189" i="6"/>
  <c r="C1189" i="6"/>
  <c r="D1189" i="6"/>
  <c r="E1189" i="6" s="1"/>
  <c r="F1189" i="6" s="1"/>
  <c r="G1189" i="6"/>
  <c r="H1189" i="6"/>
  <c r="A1190" i="6"/>
  <c r="B1190" i="6"/>
  <c r="C1190" i="6"/>
  <c r="D1190" i="6"/>
  <c r="G1190" i="6"/>
  <c r="H1190" i="6"/>
  <c r="A1189" i="4"/>
  <c r="A1190" i="4"/>
  <c r="H1189" i="5"/>
  <c r="I1189" i="5"/>
  <c r="H1190" i="5"/>
  <c r="I1190" i="5"/>
  <c r="A1189" i="7"/>
  <c r="B1189" i="7"/>
  <c r="I1189" i="8" s="1"/>
  <c r="A1188" i="4"/>
  <c r="A1188" i="6" s="1"/>
  <c r="A1189" i="8" s="1"/>
  <c r="H1188" i="5"/>
  <c r="H1189" i="7" s="1"/>
  <c r="I1188" i="5"/>
  <c r="A1185" i="7"/>
  <c r="B1185" i="7"/>
  <c r="I1185" i="8" s="1"/>
  <c r="A1186" i="7"/>
  <c r="B1186" i="7"/>
  <c r="A1187" i="7"/>
  <c r="B1187" i="7"/>
  <c r="I1187" i="8" s="1"/>
  <c r="A1188" i="7"/>
  <c r="B1188" i="7"/>
  <c r="I1188" i="8" s="1"/>
  <c r="A1187" i="4"/>
  <c r="A1187" i="6" s="1"/>
  <c r="A1188" i="8" s="1"/>
  <c r="A1184" i="4"/>
  <c r="A1184" i="6" s="1"/>
  <c r="A1185" i="8" s="1"/>
  <c r="A1185" i="4"/>
  <c r="A1185" i="6" s="1"/>
  <c r="A1186" i="8" s="1"/>
  <c r="A1186" i="4"/>
  <c r="A1186" i="6" s="1"/>
  <c r="A1187" i="8" s="1"/>
  <c r="H1184" i="5"/>
  <c r="H1185" i="7" s="1"/>
  <c r="I1184" i="5"/>
  <c r="H1185" i="5"/>
  <c r="H1186" i="7" s="1"/>
  <c r="I1185" i="5"/>
  <c r="H1186" i="5"/>
  <c r="H1187" i="7" s="1"/>
  <c r="I1186" i="5"/>
  <c r="H1187" i="5"/>
  <c r="H1188" i="7" s="1"/>
  <c r="I1187" i="5"/>
  <c r="A1184" i="7"/>
  <c r="B1184" i="7"/>
  <c r="I1184" i="8" s="1"/>
  <c r="H1183" i="5"/>
  <c r="H1184" i="7" s="1"/>
  <c r="I1183" i="5"/>
  <c r="A1183" i="4"/>
  <c r="A1183" i="6" s="1"/>
  <c r="A1184" i="8" s="1"/>
  <c r="A1183" i="7"/>
  <c r="B1183" i="7"/>
  <c r="I1183" i="8" s="1"/>
  <c r="A1182" i="4"/>
  <c r="A1182" i="6" s="1"/>
  <c r="A1183" i="8" s="1"/>
  <c r="H1182" i="5"/>
  <c r="H1183" i="7" s="1"/>
  <c r="I1182" i="5"/>
  <c r="A1182" i="7"/>
  <c r="B1182" i="7"/>
  <c r="A1181" i="4"/>
  <c r="A1181" i="6" s="1"/>
  <c r="A1182" i="8" s="1"/>
  <c r="H1181" i="5"/>
  <c r="H1182" i="7" s="1"/>
  <c r="I1181" i="5"/>
  <c r="A1180" i="7"/>
  <c r="B1180" i="7"/>
  <c r="A1181" i="7"/>
  <c r="B1181" i="7"/>
  <c r="I1181" i="8" s="1"/>
  <c r="A1179" i="4"/>
  <c r="A1179" i="6" s="1"/>
  <c r="A1180" i="8" s="1"/>
  <c r="A1180" i="4"/>
  <c r="A1180" i="6" s="1"/>
  <c r="A1181" i="8" s="1"/>
  <c r="H1179" i="5"/>
  <c r="H1180" i="7" s="1"/>
  <c r="I1179" i="5"/>
  <c r="H1180" i="5"/>
  <c r="H1181" i="7" s="1"/>
  <c r="I1180" i="5"/>
  <c r="A1179" i="7"/>
  <c r="B1179" i="7"/>
  <c r="I1179" i="8" s="1"/>
  <c r="H1178" i="5"/>
  <c r="H1179" i="7" s="1"/>
  <c r="I1178" i="5"/>
  <c r="A1178" i="4"/>
  <c r="A1178" i="6" s="1"/>
  <c r="A1179" i="8" s="1"/>
  <c r="A1178" i="7"/>
  <c r="B1178" i="7"/>
  <c r="I1178" i="8" s="1"/>
  <c r="H1177" i="5"/>
  <c r="H1178" i="7" s="1"/>
  <c r="I1177" i="5"/>
  <c r="A1177" i="4"/>
  <c r="A1177" i="6" s="1"/>
  <c r="A1178" i="8" s="1"/>
  <c r="A1177" i="7"/>
  <c r="B1177" i="7"/>
  <c r="I1177" i="8" s="1"/>
  <c r="A1176" i="4"/>
  <c r="A1176" i="6" s="1"/>
  <c r="A1177" i="8" s="1"/>
  <c r="H1176" i="5"/>
  <c r="H1177" i="7" s="1"/>
  <c r="I1176" i="5"/>
  <c r="A1176" i="7"/>
  <c r="B1176" i="7"/>
  <c r="I1176" i="8" s="1"/>
  <c r="A1175" i="4"/>
  <c r="A1175" i="6" s="1"/>
  <c r="A1176" i="8" s="1"/>
  <c r="H1175" i="5"/>
  <c r="H1176" i="7" s="1"/>
  <c r="I1175" i="5"/>
  <c r="A1175" i="7"/>
  <c r="B1175" i="7"/>
  <c r="A1174" i="4"/>
  <c r="A1174" i="6" s="1"/>
  <c r="A1175" i="8" s="1"/>
  <c r="H1174" i="5"/>
  <c r="H1175" i="7" s="1"/>
  <c r="I1174" i="5"/>
  <c r="A1174" i="7"/>
  <c r="B1174" i="7"/>
  <c r="I1174" i="8" s="1"/>
  <c r="A1173" i="4"/>
  <c r="A1173" i="6" s="1"/>
  <c r="A1174" i="8" s="1"/>
  <c r="H1173" i="5"/>
  <c r="H1174" i="7" s="1"/>
  <c r="I1173" i="5"/>
  <c r="A1173" i="7"/>
  <c r="B1173" i="7"/>
  <c r="A1172" i="4"/>
  <c r="A1172" i="6" s="1"/>
  <c r="A1173" i="8" s="1"/>
  <c r="H1172" i="5"/>
  <c r="H1173" i="7" s="1"/>
  <c r="I1172" i="5"/>
  <c r="A1172" i="7"/>
  <c r="B1172" i="7"/>
  <c r="I1172" i="8" s="1"/>
  <c r="A1171" i="4"/>
  <c r="A1171" i="6" s="1"/>
  <c r="A1172" i="8" s="1"/>
  <c r="H1171" i="5"/>
  <c r="H1172" i="7" s="1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89" i="4"/>
  <c r="C1189" i="4"/>
  <c r="B1190" i="4"/>
  <c r="D1189" i="4"/>
  <c r="C1190" i="4"/>
  <c r="E1189" i="4"/>
  <c r="D1190" i="4"/>
  <c r="F1189" i="4"/>
  <c r="E1190" i="4"/>
  <c r="G1189" i="4"/>
  <c r="F1190" i="4"/>
  <c r="G1190" i="4"/>
  <c r="G1186" i="4"/>
  <c r="D1181" i="4"/>
  <c r="F1178" i="4"/>
  <c r="D1183" i="4"/>
  <c r="E1178" i="4"/>
  <c r="C1183" i="4"/>
  <c r="G1178" i="4"/>
  <c r="B1178" i="4"/>
  <c r="G1177" i="4"/>
  <c r="E1183" i="4"/>
  <c r="C1181" i="4"/>
  <c r="F1184" i="4"/>
  <c r="B1184" i="4"/>
  <c r="B1187" i="4"/>
  <c r="C1187" i="4"/>
  <c r="F1177" i="4"/>
  <c r="F1182" i="4"/>
  <c r="E1177" i="4"/>
  <c r="B1182" i="4"/>
  <c r="B1188" i="4"/>
  <c r="G1185" i="4"/>
  <c r="E1184" i="4"/>
  <c r="D1186" i="4"/>
  <c r="C1184" i="4"/>
  <c r="D1187" i="4"/>
  <c r="E1187" i="4"/>
  <c r="F1187" i="4"/>
  <c r="G1187" i="4"/>
  <c r="G1179" i="4"/>
  <c r="G1183" i="4"/>
  <c r="C1188" i="4"/>
  <c r="E1182" i="4"/>
  <c r="F1186" i="4"/>
  <c r="D1185" i="4"/>
  <c r="C1186" i="4"/>
  <c r="B1185" i="4"/>
  <c r="D1184" i="4"/>
  <c r="C1185" i="4"/>
  <c r="B1186" i="4"/>
  <c r="D1178" i="4"/>
  <c r="D1188" i="4"/>
  <c r="E1179" i="4"/>
  <c r="G1181" i="4"/>
  <c r="F1183" i="4"/>
  <c r="G1180" i="4"/>
  <c r="E1185" i="4"/>
  <c r="G1184" i="4"/>
  <c r="F1185" i="4"/>
  <c r="E1186" i="4"/>
  <c r="F1181" i="4"/>
  <c r="F1188" i="4"/>
  <c r="C1180" i="4"/>
  <c r="E1180" i="4"/>
  <c r="D1182" i="4"/>
  <c r="E1181" i="4"/>
  <c r="B1180" i="4"/>
  <c r="C1178" i="4"/>
  <c r="D1179" i="4"/>
  <c r="B1181" i="4"/>
  <c r="E1188" i="4"/>
  <c r="D1180" i="4"/>
  <c r="G1188" i="4"/>
  <c r="B1177" i="4"/>
  <c r="C1179" i="4"/>
  <c r="F1179" i="4"/>
  <c r="C1182" i="4"/>
  <c r="G1182" i="4"/>
  <c r="D1177" i="4"/>
  <c r="B1179" i="4"/>
  <c r="B1183" i="4"/>
  <c r="F1180" i="4"/>
  <c r="C1177" i="4"/>
  <c r="P1190" i="7" l="1"/>
  <c r="Q1190" i="7" s="1"/>
  <c r="R1190" i="7" s="1"/>
  <c r="C1191" i="7"/>
  <c r="J1191" i="7"/>
  <c r="I1191" i="7"/>
  <c r="P1191" i="7"/>
  <c r="Q1191" i="7" s="1"/>
  <c r="R1191" i="7" s="1"/>
  <c r="J1190" i="7"/>
  <c r="K1190" i="7" s="1"/>
  <c r="E1190" i="6"/>
  <c r="F1190" i="6" s="1"/>
  <c r="I1190" i="4"/>
  <c r="I1189" i="4"/>
  <c r="H1190" i="4"/>
  <c r="H1189" i="4"/>
  <c r="D1189" i="7"/>
  <c r="C1189" i="7"/>
  <c r="I1189" i="7"/>
  <c r="J1189" i="7"/>
  <c r="K1189" i="7" s="1"/>
  <c r="I1185" i="7"/>
  <c r="I1188" i="4"/>
  <c r="H1188" i="4"/>
  <c r="C1187" i="7"/>
  <c r="I1186" i="7"/>
  <c r="I1188" i="7"/>
  <c r="J1186" i="7"/>
  <c r="J1185" i="7"/>
  <c r="I1187" i="7"/>
  <c r="J1188" i="7"/>
  <c r="D1187" i="7"/>
  <c r="D1185" i="7"/>
  <c r="I1186" i="8"/>
  <c r="C1185" i="7"/>
  <c r="C1188" i="7"/>
  <c r="J1187" i="7"/>
  <c r="D1186" i="7"/>
  <c r="C1186" i="7"/>
  <c r="D1188" i="7"/>
  <c r="F1187" i="7"/>
  <c r="I1187" i="4"/>
  <c r="H1187" i="4"/>
  <c r="I1186" i="4"/>
  <c r="I1185" i="4"/>
  <c r="I1184" i="4"/>
  <c r="H1186" i="4"/>
  <c r="H1185" i="4"/>
  <c r="H1184" i="4"/>
  <c r="I1184" i="7"/>
  <c r="D1184" i="7"/>
  <c r="C1184" i="7"/>
  <c r="J1184" i="7"/>
  <c r="I1183" i="4"/>
  <c r="H1183" i="4"/>
  <c r="D1183" i="7"/>
  <c r="C1183" i="7"/>
  <c r="I1183" i="7"/>
  <c r="J1183" i="7"/>
  <c r="I1182" i="4"/>
  <c r="H1182" i="4"/>
  <c r="C1182" i="7"/>
  <c r="D1182" i="7"/>
  <c r="I1182" i="7"/>
  <c r="I1182" i="8"/>
  <c r="J1182" i="7"/>
  <c r="I1181" i="4"/>
  <c r="H1181" i="4"/>
  <c r="I1180" i="7"/>
  <c r="D1180" i="7"/>
  <c r="C1180" i="7"/>
  <c r="I1180" i="8"/>
  <c r="D1181" i="7"/>
  <c r="C1181" i="7"/>
  <c r="J1181" i="7"/>
  <c r="I1181" i="7"/>
  <c r="J1180" i="7"/>
  <c r="L1180" i="7" s="1"/>
  <c r="I1180" i="4"/>
  <c r="I1179" i="4"/>
  <c r="H1180" i="4"/>
  <c r="H1179" i="4"/>
  <c r="I1179" i="7"/>
  <c r="D1179" i="7"/>
  <c r="C1179" i="7"/>
  <c r="J1179" i="7"/>
  <c r="I1178" i="4"/>
  <c r="H1178" i="4"/>
  <c r="I1178" i="7"/>
  <c r="C1178" i="7"/>
  <c r="D1178" i="7"/>
  <c r="J1178" i="7"/>
  <c r="I1177" i="4"/>
  <c r="H1177" i="4"/>
  <c r="I1177" i="7"/>
  <c r="D1177" i="7"/>
  <c r="C1177" i="7"/>
  <c r="J1177" i="7"/>
  <c r="I1176" i="7"/>
  <c r="D1176" i="7"/>
  <c r="C1176" i="7"/>
  <c r="J1176" i="7"/>
  <c r="I1175" i="7"/>
  <c r="J1175" i="7"/>
  <c r="C1175" i="7"/>
  <c r="I1175" i="8"/>
  <c r="D1175" i="7"/>
  <c r="D1174" i="7"/>
  <c r="I1174" i="7"/>
  <c r="C1174" i="7"/>
  <c r="J1174" i="7"/>
  <c r="J1173" i="7"/>
  <c r="C1173" i="7"/>
  <c r="I1173" i="7"/>
  <c r="D1173" i="7"/>
  <c r="I1173" i="8"/>
  <c r="D1172" i="7"/>
  <c r="C1172" i="7"/>
  <c r="I1172" i="7"/>
  <c r="J1172" i="7"/>
  <c r="I1171" i="7"/>
  <c r="C1171" i="7"/>
  <c r="I1171" i="8"/>
  <c r="D1171" i="7"/>
  <c r="J1171" i="7"/>
  <c r="I1170" i="7"/>
  <c r="D1170" i="7"/>
  <c r="C1170" i="7"/>
  <c r="J1170" i="7"/>
  <c r="I1169" i="7"/>
  <c r="D1169" i="7"/>
  <c r="C1169" i="7"/>
  <c r="J1169" i="7"/>
  <c r="I1168" i="8"/>
  <c r="I1165" i="8"/>
  <c r="I1161" i="8"/>
  <c r="I1157" i="8"/>
  <c r="I1154" i="8"/>
  <c r="I1145" i="8"/>
  <c r="I1140" i="8"/>
  <c r="I1139" i="8"/>
  <c r="I1137" i="8"/>
  <c r="I1135" i="8"/>
  <c r="I1133" i="8"/>
  <c r="I1132" i="8"/>
  <c r="I1128" i="8"/>
  <c r="I1127" i="8"/>
  <c r="I1123" i="8"/>
  <c r="I1121" i="8"/>
  <c r="I1116" i="8"/>
  <c r="I1114" i="8"/>
  <c r="I1112" i="8"/>
  <c r="B1109" i="7"/>
  <c r="O1167" i="7" s="1"/>
  <c r="H1108" i="5"/>
  <c r="H1109" i="7" s="1"/>
  <c r="I1167" i="7" s="1"/>
  <c r="O1108" i="7"/>
  <c r="C1108" i="7"/>
  <c r="D1108" i="7"/>
  <c r="F10" i="8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G1118" i="4"/>
  <c r="G1161" i="4"/>
  <c r="G1150" i="4"/>
  <c r="B1173" i="4"/>
  <c r="C1168" i="4"/>
  <c r="F1159" i="4"/>
  <c r="B1130" i="4"/>
  <c r="F1169" i="4"/>
  <c r="B1112" i="4"/>
  <c r="G1131" i="4"/>
  <c r="E1152" i="4"/>
  <c r="G1119" i="4"/>
  <c r="C1162" i="4"/>
  <c r="C1139" i="4"/>
  <c r="C1161" i="4"/>
  <c r="G1172" i="4"/>
  <c r="G4" i="4"/>
  <c r="E1154" i="4"/>
  <c r="D1176" i="4"/>
  <c r="B1171" i="4"/>
  <c r="C1105" i="4"/>
  <c r="F1130" i="4"/>
  <c r="B1106" i="4"/>
  <c r="F1141" i="4"/>
  <c r="B1135" i="4"/>
  <c r="F1160" i="4"/>
  <c r="D1175" i="4"/>
  <c r="E1166" i="4"/>
  <c r="F1148" i="4"/>
  <c r="D1116" i="4"/>
  <c r="B1172" i="4"/>
  <c r="C1154" i="4"/>
  <c r="C1159" i="4"/>
  <c r="C1113" i="4"/>
  <c r="G1112" i="4"/>
  <c r="F1128" i="4"/>
  <c r="D1167" i="4"/>
  <c r="D1124" i="4"/>
  <c r="F1129" i="4"/>
  <c r="F1166" i="4"/>
  <c r="C1115" i="4"/>
  <c r="G1134" i="4"/>
  <c r="B1109" i="4"/>
  <c r="E4" i="4"/>
  <c r="D1162" i="4"/>
  <c r="C1108" i="4"/>
  <c r="F1163" i="4"/>
  <c r="G1168" i="4"/>
  <c r="F1113" i="4"/>
  <c r="D1142" i="4"/>
  <c r="F1116" i="4"/>
  <c r="C1142" i="4"/>
  <c r="C1137" i="4"/>
  <c r="D1157" i="4"/>
  <c r="C1117" i="4"/>
  <c r="B1175" i="4"/>
  <c r="G1165" i="4"/>
  <c r="G1124" i="4"/>
  <c r="B1125" i="4"/>
  <c r="E1162" i="4"/>
  <c r="G1175" i="4"/>
  <c r="D1135" i="4"/>
  <c r="C1146" i="4"/>
  <c r="E1131" i="4"/>
  <c r="F1145" i="4"/>
  <c r="E1157" i="4"/>
  <c r="F1176" i="4"/>
  <c r="C1109" i="4"/>
  <c r="E1124" i="4"/>
  <c r="G1158" i="4"/>
  <c r="E1160" i="4"/>
  <c r="D1118" i="4"/>
  <c r="G1156" i="4"/>
  <c r="B1119" i="4"/>
  <c r="C1118" i="4"/>
  <c r="D1155" i="4"/>
  <c r="E1106" i="4"/>
  <c r="F1114" i="4"/>
  <c r="C1174" i="4"/>
  <c r="B1161" i="4"/>
  <c r="F1156" i="4"/>
  <c r="D1132" i="4"/>
  <c r="D1140" i="4"/>
  <c r="G1120" i="4"/>
  <c r="G1167" i="4"/>
  <c r="G1140" i="4"/>
  <c r="D1146" i="4"/>
  <c r="C1116" i="4"/>
  <c r="B1139" i="4"/>
  <c r="C1122" i="4"/>
  <c r="D1172" i="4"/>
  <c r="C1172" i="4"/>
  <c r="B1163" i="4"/>
  <c r="C1156" i="4"/>
  <c r="B1151" i="4"/>
  <c r="F1171" i="4"/>
  <c r="G1153" i="4"/>
  <c r="C1171" i="4"/>
  <c r="E1159" i="4"/>
  <c r="D1138" i="4"/>
  <c r="D1158" i="4"/>
  <c r="E1116" i="4"/>
  <c r="C1163" i="4"/>
  <c r="B1143" i="4"/>
  <c r="E1173" i="4"/>
  <c r="E1135" i="4"/>
  <c r="G1111" i="4"/>
  <c r="E1153" i="4"/>
  <c r="D1152" i="4"/>
  <c r="D1147" i="4"/>
  <c r="G1109" i="4"/>
  <c r="C1169" i="4"/>
  <c r="B1131" i="4"/>
  <c r="B1114" i="4"/>
  <c r="B1176" i="4"/>
  <c r="F1146" i="4"/>
  <c r="E1175" i="4"/>
  <c r="B1118" i="4"/>
  <c r="D1125" i="4"/>
  <c r="B1124" i="4"/>
  <c r="D1156" i="4"/>
  <c r="C1151" i="4"/>
  <c r="G1155" i="4"/>
  <c r="G1162" i="4"/>
  <c r="F1136" i="4"/>
  <c r="E1111" i="4"/>
  <c r="F1115" i="4"/>
  <c r="E1108" i="4"/>
  <c r="F1119" i="4"/>
  <c r="C1136" i="4"/>
  <c r="C1126" i="4"/>
  <c r="C1164" i="4"/>
  <c r="F1127" i="4"/>
  <c r="B1152" i="4"/>
  <c r="B1147" i="4"/>
  <c r="C1133" i="4"/>
  <c r="G1145" i="4"/>
  <c r="F1111" i="4"/>
  <c r="C1150" i="4"/>
  <c r="E1105" i="4"/>
  <c r="G1174" i="4"/>
  <c r="F1149" i="4"/>
  <c r="D1106" i="4"/>
  <c r="B1167" i="4"/>
  <c r="F1112" i="4"/>
  <c r="B3" i="4"/>
  <c r="B1156" i="4"/>
  <c r="D1154" i="4"/>
  <c r="F1172" i="4"/>
  <c r="G1163" i="4"/>
  <c r="G1160" i="4"/>
  <c r="F1170" i="4"/>
  <c r="E1163" i="4"/>
  <c r="E1115" i="4"/>
  <c r="D1114" i="4"/>
  <c r="B1148" i="4"/>
  <c r="C1127" i="4"/>
  <c r="F1134" i="4"/>
  <c r="F1153" i="4"/>
  <c r="B4" i="4"/>
  <c r="E1126" i="4"/>
  <c r="C1149" i="4"/>
  <c r="G1143" i="4"/>
  <c r="G1171" i="4"/>
  <c r="G1105" i="4"/>
  <c r="C1119" i="4"/>
  <c r="F1135" i="4"/>
  <c r="B1153" i="4"/>
  <c r="B1120" i="4"/>
  <c r="A1" i="5"/>
  <c r="B1162" i="4"/>
  <c r="G1127" i="4"/>
  <c r="B1166" i="4"/>
  <c r="G1116" i="4"/>
  <c r="B1159" i="4"/>
  <c r="C1110" i="4"/>
  <c r="G1137" i="4"/>
  <c r="E1145" i="4"/>
  <c r="G1125" i="4"/>
  <c r="D1117" i="4"/>
  <c r="D1145" i="4"/>
  <c r="E1107" i="4"/>
  <c r="C1129" i="4"/>
  <c r="G1147" i="4"/>
  <c r="C1143" i="4"/>
  <c r="C1123" i="4"/>
  <c r="G1159" i="4"/>
  <c r="G1157" i="4"/>
  <c r="D1139" i="4"/>
  <c r="F1158" i="4"/>
  <c r="G1115" i="4"/>
  <c r="D1165" i="4"/>
  <c r="C1124" i="4"/>
  <c r="G1122" i="4"/>
  <c r="C1138" i="4"/>
  <c r="F1122" i="4"/>
  <c r="E1132" i="4"/>
  <c r="B1111" i="4"/>
  <c r="B1170" i="4"/>
  <c r="B1150" i="4"/>
  <c r="G1126" i="4"/>
  <c r="B1155" i="4"/>
  <c r="E1114" i="4"/>
  <c r="E1129" i="4"/>
  <c r="G1149" i="4"/>
  <c r="E1113" i="4"/>
  <c r="E1169" i="4"/>
  <c r="G1146" i="4"/>
  <c r="C1155" i="4"/>
  <c r="F1144" i="4"/>
  <c r="E1165" i="4"/>
  <c r="E1142" i="4"/>
  <c r="C1114" i="4"/>
  <c r="F1155" i="4"/>
  <c r="C1135" i="4"/>
  <c r="F1137" i="4"/>
  <c r="E1117" i="4"/>
  <c r="G3" i="4"/>
  <c r="B1121" i="4"/>
  <c r="E1130" i="4"/>
  <c r="E1150" i="4"/>
  <c r="F1131" i="4"/>
  <c r="E1123" i="4"/>
  <c r="G1107" i="4"/>
  <c r="E1156" i="4"/>
  <c r="D1141" i="4"/>
  <c r="F1168" i="4"/>
  <c r="G1142" i="4"/>
  <c r="C1165" i="4"/>
  <c r="D1170" i="4"/>
  <c r="B1117" i="4"/>
  <c r="F1105" i="4"/>
  <c r="C1157" i="4"/>
  <c r="D1112" i="4"/>
  <c r="F1133" i="4"/>
  <c r="B1140" i="4"/>
  <c r="F1108" i="4"/>
  <c r="D1168" i="4"/>
  <c r="D1123" i="4"/>
  <c r="F1110" i="4"/>
  <c r="C1120" i="4"/>
  <c r="F1147" i="4"/>
  <c r="E1140" i="4"/>
  <c r="B1134" i="4"/>
  <c r="C1145" i="4"/>
  <c r="E1144" i="4"/>
  <c r="F1167" i="4"/>
  <c r="G1123" i="4"/>
  <c r="D1137" i="4"/>
  <c r="E1127" i="4"/>
  <c r="B1165" i="4"/>
  <c r="D1130" i="4"/>
  <c r="B1128" i="4"/>
  <c r="E1133" i="4"/>
  <c r="G1151" i="4"/>
  <c r="G1152" i="4"/>
  <c r="C1166" i="4"/>
  <c r="E1143" i="4"/>
  <c r="E1109" i="4"/>
  <c r="F1125" i="4"/>
  <c r="D1171" i="4"/>
  <c r="B1115" i="4"/>
  <c r="D1136" i="4"/>
  <c r="B1168" i="4"/>
  <c r="D1149" i="4"/>
  <c r="B1138" i="4"/>
  <c r="D1160" i="4"/>
  <c r="F1142" i="4"/>
  <c r="G1135" i="4"/>
  <c r="E1151" i="4"/>
  <c r="C1107" i="4"/>
  <c r="F1164" i="4"/>
  <c r="E3" i="4"/>
  <c r="G1169" i="4"/>
  <c r="E1119" i="4"/>
  <c r="B1145" i="4"/>
  <c r="D1105" i="4"/>
  <c r="C1112" i="4"/>
  <c r="E1121" i="4"/>
  <c r="C1125" i="4"/>
  <c r="F1139" i="4"/>
  <c r="B1149" i="4"/>
  <c r="F1121" i="4"/>
  <c r="B1137" i="4"/>
  <c r="C1130" i="4"/>
  <c r="G1136" i="4"/>
  <c r="F1117" i="4"/>
  <c r="G1106" i="4"/>
  <c r="E1155" i="4"/>
  <c r="B1122" i="4"/>
  <c r="G1164" i="4"/>
  <c r="D1110" i="4"/>
  <c r="C1175" i="4"/>
  <c r="F1118" i="4"/>
  <c r="E1125" i="4"/>
  <c r="E1141" i="4"/>
  <c r="F1162" i="4"/>
  <c r="G1129" i="4"/>
  <c r="F4" i="4"/>
  <c r="E1149" i="4"/>
  <c r="E1164" i="4"/>
  <c r="E1134" i="4"/>
  <c r="D1129" i="4"/>
  <c r="B1164" i="4"/>
  <c r="B1126" i="4"/>
  <c r="D1143" i="4"/>
  <c r="B1154" i="4"/>
  <c r="C1132" i="4"/>
  <c r="E1128" i="4"/>
  <c r="E1161" i="4"/>
  <c r="F1151" i="4"/>
  <c r="E1147" i="4"/>
  <c r="G1166" i="4"/>
  <c r="F3" i="4"/>
  <c r="D1127" i="4"/>
  <c r="G1170" i="4"/>
  <c r="B1142" i="4"/>
  <c r="B1174" i="4"/>
  <c r="C1147" i="4"/>
  <c r="C1121" i="4"/>
  <c r="D1164" i="4"/>
  <c r="B1123" i="4"/>
  <c r="B1107" i="4"/>
  <c r="G1132" i="4"/>
  <c r="B1136" i="4"/>
  <c r="C1134" i="4"/>
  <c r="B1158" i="4"/>
  <c r="D1108" i="4"/>
  <c r="B1160" i="4"/>
  <c r="B1169" i="4"/>
  <c r="F1138" i="4"/>
  <c r="F1140" i="4"/>
  <c r="E1118" i="4"/>
  <c r="C1170" i="4"/>
  <c r="D1166" i="4"/>
  <c r="F1126" i="4"/>
  <c r="B1133" i="4"/>
  <c r="D1173" i="4"/>
  <c r="G1113" i="4"/>
  <c r="C1173" i="4"/>
  <c r="F1132" i="4"/>
  <c r="F1143" i="4"/>
  <c r="C1106" i="4"/>
  <c r="D1150" i="4"/>
  <c r="C1131" i="4"/>
  <c r="B1132" i="4"/>
  <c r="E1168" i="4"/>
  <c r="E1176" i="4"/>
  <c r="C3" i="4"/>
  <c r="F1106" i="4"/>
  <c r="C1111" i="4"/>
  <c r="D1153" i="4"/>
  <c r="G1110" i="4"/>
  <c r="F1109" i="4"/>
  <c r="B1110" i="4"/>
  <c r="G1176" i="4"/>
  <c r="B1116" i="4"/>
  <c r="G1173" i="4"/>
  <c r="F1174" i="4"/>
  <c r="D1113" i="4"/>
  <c r="F1123" i="4"/>
  <c r="C1152" i="4"/>
  <c r="G1148" i="4"/>
  <c r="F1154" i="4"/>
  <c r="C1160" i="4"/>
  <c r="F1161" i="4"/>
  <c r="C1176" i="4"/>
  <c r="C1153" i="4"/>
  <c r="D1134" i="4"/>
  <c r="E1136" i="4"/>
  <c r="B1141" i="4"/>
  <c r="C1158" i="4"/>
  <c r="B1105" i="4"/>
  <c r="F1107" i="4"/>
  <c r="G1108" i="4"/>
  <c r="D1161" i="4"/>
  <c r="D4" i="4"/>
  <c r="G1117" i="4"/>
  <c r="E1112" i="4"/>
  <c r="C1144" i="4"/>
  <c r="D1119" i="4"/>
  <c r="E1171" i="4"/>
  <c r="F1165" i="4"/>
  <c r="D1133" i="4"/>
  <c r="G1154" i="4"/>
  <c r="C1167" i="4"/>
  <c r="D1169" i="4"/>
  <c r="F1152" i="4"/>
  <c r="E1170" i="4"/>
  <c r="D1126" i="4"/>
  <c r="D1159" i="4"/>
  <c r="D1120" i="4"/>
  <c r="E1139" i="4"/>
  <c r="G1128" i="4"/>
  <c r="B1108" i="4"/>
  <c r="C1141" i="4"/>
  <c r="D1128" i="4"/>
  <c r="F1150" i="4"/>
  <c r="D1122" i="4"/>
  <c r="F1120" i="4"/>
  <c r="E1167" i="4"/>
  <c r="F1157" i="4"/>
  <c r="B1157" i="4"/>
  <c r="G1114" i="4"/>
  <c r="E1158" i="4"/>
  <c r="G1138" i="4"/>
  <c r="G1130" i="4"/>
  <c r="D1107" i="4"/>
  <c r="D1144" i="4"/>
  <c r="G1121" i="4"/>
  <c r="D1121" i="4"/>
  <c r="E1174" i="4"/>
  <c r="D1174" i="4"/>
  <c r="D1163" i="4"/>
  <c r="E1137" i="4"/>
  <c r="C1128" i="4"/>
  <c r="E1120" i="4"/>
  <c r="C1148" i="4"/>
  <c r="E1110" i="4"/>
  <c r="B1127" i="4"/>
  <c r="B1144" i="4"/>
  <c r="E1146" i="4"/>
  <c r="D1109" i="4"/>
  <c r="D1131" i="4"/>
  <c r="F1124" i="4"/>
  <c r="D1111" i="4"/>
  <c r="G1133" i="4"/>
  <c r="B1113" i="4"/>
  <c r="D1148" i="4"/>
  <c r="E1172" i="4"/>
  <c r="G1139" i="4"/>
  <c r="D1151" i="4"/>
  <c r="B1129" i="4"/>
  <c r="F1175" i="4"/>
  <c r="G1144" i="4"/>
  <c r="E1138" i="4"/>
  <c r="E1148" i="4"/>
  <c r="G1141" i="4"/>
  <c r="C1140" i="4"/>
  <c r="F1173" i="4"/>
  <c r="B1146" i="4"/>
  <c r="D3" i="4"/>
  <c r="C4" i="4"/>
  <c r="E1122" i="4"/>
  <c r="D1115" i="4"/>
  <c r="E1191" i="7" l="1"/>
  <c r="G1191" i="7" s="1"/>
  <c r="F1191" i="7"/>
  <c r="L1190" i="7"/>
  <c r="M1190" i="7" s="1"/>
  <c r="N1190" i="7" s="1"/>
  <c r="L1191" i="7"/>
  <c r="K1191" i="7"/>
  <c r="M1191" i="7" s="1"/>
  <c r="F1189" i="7"/>
  <c r="P1189" i="7"/>
  <c r="B1188" i="6"/>
  <c r="K1186" i="7"/>
  <c r="E1189" i="7"/>
  <c r="G1189" i="7" s="1"/>
  <c r="O1189" i="7"/>
  <c r="L1189" i="7"/>
  <c r="M1189" i="7" s="1"/>
  <c r="L1185" i="7"/>
  <c r="E1185" i="7"/>
  <c r="P1188" i="7"/>
  <c r="L1188" i="7"/>
  <c r="E1187" i="7"/>
  <c r="G1187" i="7" s="1"/>
  <c r="K1184" i="7"/>
  <c r="F1185" i="7"/>
  <c r="K1188" i="7"/>
  <c r="P1186" i="7"/>
  <c r="P1185" i="7"/>
  <c r="K1187" i="7"/>
  <c r="O1186" i="7"/>
  <c r="O1185" i="7"/>
  <c r="F445" i="7"/>
  <c r="E1188" i="7"/>
  <c r="O1187" i="7"/>
  <c r="P1187" i="7"/>
  <c r="O1188" i="7"/>
  <c r="K1185" i="7"/>
  <c r="B1187" i="6"/>
  <c r="L1186" i="7"/>
  <c r="M1186" i="7" s="1"/>
  <c r="B1184" i="6"/>
  <c r="B1185" i="6"/>
  <c r="B1186" i="6"/>
  <c r="F1188" i="7"/>
  <c r="G1188" i="7" s="1"/>
  <c r="E1186" i="7"/>
  <c r="F1186" i="7"/>
  <c r="L1187" i="7"/>
  <c r="P1184" i="7"/>
  <c r="K1183" i="7"/>
  <c r="F1184" i="7"/>
  <c r="E1184" i="7"/>
  <c r="F1183" i="7"/>
  <c r="O1184" i="7"/>
  <c r="B1183" i="6"/>
  <c r="L1184" i="7"/>
  <c r="M1184" i="7" s="1"/>
  <c r="P1183" i="7"/>
  <c r="E1183" i="7"/>
  <c r="F1182" i="7"/>
  <c r="O1183" i="7"/>
  <c r="B1182" i="6"/>
  <c r="L1183" i="7"/>
  <c r="L1182" i="7"/>
  <c r="E1182" i="7"/>
  <c r="P1182" i="7"/>
  <c r="K1182" i="7"/>
  <c r="F1180" i="7"/>
  <c r="F419" i="7"/>
  <c r="O1182" i="7"/>
  <c r="B1181" i="6"/>
  <c r="K1179" i="7"/>
  <c r="E1180" i="7"/>
  <c r="B1180" i="6"/>
  <c r="O1180" i="7"/>
  <c r="P1181" i="7"/>
  <c r="O1181" i="7"/>
  <c r="P1180" i="7"/>
  <c r="K1180" i="7"/>
  <c r="M1180" i="7" s="1"/>
  <c r="B1179" i="6"/>
  <c r="K1181" i="7"/>
  <c r="L1181" i="7"/>
  <c r="F1181" i="7"/>
  <c r="E1181" i="7"/>
  <c r="F1179" i="7"/>
  <c r="K1178" i="7"/>
  <c r="P1179" i="7"/>
  <c r="E1179" i="7"/>
  <c r="O1179" i="7"/>
  <c r="B1178" i="6"/>
  <c r="L1179" i="7"/>
  <c r="P1178" i="7"/>
  <c r="F1178" i="7"/>
  <c r="F1018" i="7"/>
  <c r="F1082" i="7"/>
  <c r="E1178" i="7"/>
  <c r="O1178" i="7"/>
  <c r="B1177" i="6"/>
  <c r="L1178" i="7"/>
  <c r="K1177" i="7"/>
  <c r="P1177" i="7"/>
  <c r="E1175" i="7"/>
  <c r="E1177" i="7"/>
  <c r="F1177" i="7"/>
  <c r="O1177" i="7"/>
  <c r="H1127" i="4"/>
  <c r="H1124" i="4"/>
  <c r="H1139" i="4"/>
  <c r="H1111" i="4"/>
  <c r="H1174" i="4"/>
  <c r="H1152" i="4"/>
  <c r="I1170" i="4"/>
  <c r="I1135" i="4"/>
  <c r="I1123" i="4"/>
  <c r="H1170" i="4"/>
  <c r="H1120" i="4"/>
  <c r="H1117" i="4"/>
  <c r="H1147" i="4"/>
  <c r="I1172" i="4"/>
  <c r="H1173" i="4"/>
  <c r="H1168" i="4"/>
  <c r="I1117" i="4"/>
  <c r="I1114" i="4"/>
  <c r="H1128" i="4"/>
  <c r="I1156" i="4"/>
  <c r="H1165" i="4"/>
  <c r="H1154" i="4"/>
  <c r="H1108" i="4"/>
  <c r="I1112" i="4"/>
  <c r="H1156" i="4"/>
  <c r="H1160" i="4"/>
  <c r="H1109" i="4"/>
  <c r="H1131" i="4"/>
  <c r="I1175" i="4"/>
  <c r="I1109" i="4"/>
  <c r="I1108" i="4"/>
  <c r="B1108" i="6" s="1"/>
  <c r="I1141" i="4"/>
  <c r="I1125" i="4"/>
  <c r="I1171" i="4"/>
  <c r="I1131" i="4"/>
  <c r="H1105" i="4"/>
  <c r="I1166" i="4"/>
  <c r="I1161" i="4"/>
  <c r="H1137" i="4"/>
  <c r="I1147" i="4"/>
  <c r="H1112" i="4"/>
  <c r="I1120" i="4"/>
  <c r="H1161" i="4"/>
  <c r="H1153" i="4"/>
  <c r="I1121" i="4"/>
  <c r="H1143" i="4"/>
  <c r="H1129" i="4"/>
  <c r="I1176" i="4"/>
  <c r="I1111" i="4"/>
  <c r="I1157" i="4"/>
  <c r="I1106" i="4"/>
  <c r="I1145" i="4"/>
  <c r="I1115" i="4"/>
  <c r="I1139" i="4"/>
  <c r="H1113" i="4"/>
  <c r="H1157" i="4"/>
  <c r="I1151" i="4"/>
  <c r="I1153" i="4"/>
  <c r="H1140" i="4"/>
  <c r="H1171" i="4"/>
  <c r="I1136" i="4"/>
  <c r="I1116" i="4"/>
  <c r="I1118" i="4"/>
  <c r="I1158" i="4"/>
  <c r="I1129" i="4"/>
  <c r="H1138" i="4"/>
  <c r="H1163" i="4"/>
  <c r="I1150" i="4"/>
  <c r="I1169" i="4"/>
  <c r="I1140" i="4"/>
  <c r="H1136" i="4"/>
  <c r="H1155" i="4"/>
  <c r="H1146" i="4"/>
  <c r="H1144" i="4"/>
  <c r="H1169" i="4"/>
  <c r="H1150" i="4"/>
  <c r="I1132" i="4"/>
  <c r="I1159" i="4"/>
  <c r="I1164" i="4"/>
  <c r="H1106" i="4"/>
  <c r="I1133" i="4"/>
  <c r="H1132" i="4"/>
  <c r="I1119" i="4"/>
  <c r="I1163" i="4"/>
  <c r="I1138" i="4"/>
  <c r="I1149" i="4"/>
  <c r="I1168" i="4"/>
  <c r="I1127" i="4"/>
  <c r="H1142" i="4"/>
  <c r="I1110" i="4"/>
  <c r="I1146" i="4"/>
  <c r="H1175" i="4"/>
  <c r="I1154" i="4"/>
  <c r="I1148" i="4"/>
  <c r="H1119" i="4"/>
  <c r="H1121" i="4"/>
  <c r="H1151" i="4"/>
  <c r="H1166" i="4"/>
  <c r="I1105" i="4"/>
  <c r="I1113" i="4"/>
  <c r="I1137" i="4"/>
  <c r="H1115" i="4"/>
  <c r="H1125" i="4"/>
  <c r="H1158" i="4"/>
  <c r="H1159" i="4"/>
  <c r="H1126" i="4"/>
  <c r="H1148" i="4"/>
  <c r="H1118" i="4"/>
  <c r="H1110" i="4"/>
  <c r="I1130" i="4"/>
  <c r="H1130" i="4"/>
  <c r="I1167" i="4"/>
  <c r="I1173" i="4"/>
  <c r="H1135" i="4"/>
  <c r="I1128" i="4"/>
  <c r="B1128" i="6" s="1"/>
  <c r="H1167" i="4"/>
  <c r="H1176" i="4"/>
  <c r="H1122" i="4"/>
  <c r="H1123" i="4"/>
  <c r="I1107" i="4"/>
  <c r="H1162" i="4"/>
  <c r="H1141" i="4"/>
  <c r="I1174" i="4"/>
  <c r="I1142" i="4"/>
  <c r="I1124" i="4"/>
  <c r="H1114" i="4"/>
  <c r="I1160" i="4"/>
  <c r="H1116" i="4"/>
  <c r="H1172" i="4"/>
  <c r="I1165" i="4"/>
  <c r="H1164" i="4"/>
  <c r="H1149" i="4"/>
  <c r="I1162" i="4"/>
  <c r="H1133" i="4"/>
  <c r="I1134" i="4"/>
  <c r="I1144" i="4"/>
  <c r="I1155" i="4"/>
  <c r="I1126" i="4"/>
  <c r="B1126" i="6" s="1"/>
  <c r="I1122" i="4"/>
  <c r="I1143" i="4"/>
  <c r="I1152" i="4"/>
  <c r="H1134" i="4"/>
  <c r="H1145" i="4"/>
  <c r="H1107" i="4"/>
  <c r="L1177" i="7"/>
  <c r="K1176" i="7"/>
  <c r="F1176" i="7"/>
  <c r="K1175" i="7"/>
  <c r="P1176" i="7"/>
  <c r="E1176" i="7"/>
  <c r="O1176" i="7"/>
  <c r="L1176" i="7"/>
  <c r="P1175" i="7"/>
  <c r="L1175" i="7"/>
  <c r="O1175" i="7"/>
  <c r="F1175" i="7"/>
  <c r="L1174" i="7"/>
  <c r="P1174" i="7"/>
  <c r="K1174" i="7"/>
  <c r="F1173" i="7"/>
  <c r="E1174" i="7"/>
  <c r="F1174" i="7"/>
  <c r="O1174" i="7"/>
  <c r="L1173" i="7"/>
  <c r="P1173" i="7"/>
  <c r="O1173" i="7"/>
  <c r="E1173" i="7"/>
  <c r="K1173" i="7"/>
  <c r="F1172" i="7"/>
  <c r="K1172" i="7"/>
  <c r="P1172" i="7"/>
  <c r="L1172" i="7"/>
  <c r="E1172" i="7"/>
  <c r="O1172" i="7"/>
  <c r="K1171" i="7"/>
  <c r="E1171" i="7"/>
  <c r="F1170" i="7"/>
  <c r="P1171" i="7"/>
  <c r="O1171" i="7"/>
  <c r="F1171" i="7"/>
  <c r="L1171" i="7"/>
  <c r="K1170" i="7"/>
  <c r="L1170" i="7"/>
  <c r="P1170" i="7"/>
  <c r="E1170" i="7"/>
  <c r="O1170" i="7"/>
  <c r="K1169" i="7"/>
  <c r="P1169" i="7"/>
  <c r="F1169" i="7"/>
  <c r="E1169" i="7"/>
  <c r="O1169" i="7"/>
  <c r="L1169" i="7"/>
  <c r="J1163" i="7"/>
  <c r="C1168" i="7"/>
  <c r="P1168" i="7"/>
  <c r="J1168" i="7"/>
  <c r="D1168" i="7"/>
  <c r="O1168" i="7"/>
  <c r="I1168" i="7"/>
  <c r="O1166" i="7"/>
  <c r="P1167" i="7"/>
  <c r="Q1167" i="7" s="1"/>
  <c r="R1167" i="7" s="1"/>
  <c r="C1167" i="8" s="1"/>
  <c r="J1167" i="7"/>
  <c r="K1167" i="7" s="1"/>
  <c r="C1167" i="7"/>
  <c r="D1167" i="7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P1164" i="7"/>
  <c r="I1164" i="7"/>
  <c r="J1164" i="7"/>
  <c r="D1164" i="7"/>
  <c r="C1164" i="7"/>
  <c r="O1164" i="7"/>
  <c r="I1162" i="7"/>
  <c r="P1162" i="7"/>
  <c r="J1160" i="7"/>
  <c r="P1160" i="7"/>
  <c r="P1163" i="7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P1159" i="7"/>
  <c r="J1159" i="7"/>
  <c r="D1159" i="7"/>
  <c r="I1159" i="7"/>
  <c r="C1159" i="7"/>
  <c r="J1158" i="7"/>
  <c r="P1158" i="7"/>
  <c r="P1157" i="7"/>
  <c r="I1157" i="7"/>
  <c r="J1157" i="7"/>
  <c r="O1157" i="7"/>
  <c r="I1158" i="7"/>
  <c r="C1158" i="7"/>
  <c r="O1158" i="7"/>
  <c r="D1157" i="7"/>
  <c r="D1158" i="7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J1154" i="7"/>
  <c r="P1154" i="7"/>
  <c r="O1154" i="7"/>
  <c r="I1154" i="7"/>
  <c r="D1154" i="7"/>
  <c r="C1154" i="7"/>
  <c r="O1153" i="7"/>
  <c r="P1153" i="7"/>
  <c r="I1153" i="7"/>
  <c r="J1153" i="7"/>
  <c r="O1151" i="7"/>
  <c r="D1153" i="7"/>
  <c r="I1152" i="7"/>
  <c r="P1152" i="7"/>
  <c r="J1152" i="7"/>
  <c r="D1152" i="7"/>
  <c r="O1152" i="7"/>
  <c r="C1152" i="7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O1149" i="7"/>
  <c r="I1149" i="7"/>
  <c r="P1149" i="7"/>
  <c r="D1149" i="7"/>
  <c r="J1149" i="7"/>
  <c r="C1149" i="7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P1146" i="7"/>
  <c r="I1146" i="7"/>
  <c r="O1145" i="7"/>
  <c r="O1146" i="7"/>
  <c r="J1146" i="7"/>
  <c r="D1146" i="7"/>
  <c r="C1146" i="7"/>
  <c r="O1144" i="7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I1142" i="7"/>
  <c r="P1142" i="7"/>
  <c r="J1142" i="7"/>
  <c r="C1126" i="7"/>
  <c r="D1142" i="7"/>
  <c r="C1142" i="7"/>
  <c r="O1140" i="7"/>
  <c r="O1141" i="7"/>
  <c r="I1141" i="7"/>
  <c r="P1141" i="7"/>
  <c r="J1141" i="7"/>
  <c r="D1141" i="7"/>
  <c r="C1141" i="7"/>
  <c r="I1140" i="7"/>
  <c r="P1140" i="7"/>
  <c r="C1140" i="7"/>
  <c r="J1140" i="7"/>
  <c r="D1140" i="7"/>
  <c r="O1138" i="7"/>
  <c r="O1139" i="7"/>
  <c r="J1139" i="7"/>
  <c r="P1139" i="7"/>
  <c r="O1137" i="7"/>
  <c r="C1139" i="7"/>
  <c r="I1139" i="7"/>
  <c r="D1139" i="7"/>
  <c r="I1138" i="7"/>
  <c r="P1138" i="7"/>
  <c r="J1138" i="7"/>
  <c r="C1138" i="7"/>
  <c r="D1138" i="7"/>
  <c r="P1137" i="7"/>
  <c r="D1137" i="7"/>
  <c r="I1137" i="7"/>
  <c r="J1137" i="7"/>
  <c r="C1137" i="7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I1134" i="7"/>
  <c r="O1133" i="7"/>
  <c r="O1134" i="7"/>
  <c r="P1134" i="7"/>
  <c r="J1134" i="7"/>
  <c r="D1134" i="7"/>
  <c r="C1134" i="7"/>
  <c r="I1133" i="7"/>
  <c r="P1133" i="7"/>
  <c r="J1133" i="7"/>
  <c r="D1133" i="7"/>
  <c r="C1133" i="7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I1131" i="7"/>
  <c r="P1131" i="7"/>
  <c r="J1131" i="7"/>
  <c r="C1131" i="7"/>
  <c r="D1131" i="7"/>
  <c r="P1130" i="7"/>
  <c r="I1130" i="7"/>
  <c r="O1130" i="7"/>
  <c r="J1130" i="7"/>
  <c r="D1130" i="7"/>
  <c r="C1130" i="7"/>
  <c r="I1129" i="7"/>
  <c r="P1129" i="7"/>
  <c r="O1128" i="7"/>
  <c r="D1129" i="7"/>
  <c r="J1129" i="7"/>
  <c r="O1129" i="7"/>
  <c r="C1129" i="7"/>
  <c r="D1128" i="7"/>
  <c r="I1128" i="7"/>
  <c r="P1128" i="7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J1126" i="7"/>
  <c r="P1126" i="7"/>
  <c r="D1126" i="7"/>
  <c r="I1126" i="7"/>
  <c r="I1125" i="7"/>
  <c r="P1125" i="7"/>
  <c r="J1125" i="7"/>
  <c r="C1120" i="7"/>
  <c r="D1125" i="7"/>
  <c r="C1125" i="7"/>
  <c r="I1124" i="7"/>
  <c r="P1124" i="7"/>
  <c r="J1124" i="7"/>
  <c r="D1124" i="7"/>
  <c r="C1124" i="7"/>
  <c r="O1124" i="7"/>
  <c r="O1123" i="7"/>
  <c r="O1121" i="7"/>
  <c r="O1122" i="7"/>
  <c r="I1123" i="7"/>
  <c r="P1123" i="7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C1122" i="7"/>
  <c r="P1121" i="7"/>
  <c r="D1121" i="7"/>
  <c r="I1121" i="7"/>
  <c r="J1121" i="7"/>
  <c r="C1121" i="7"/>
  <c r="I1120" i="7"/>
  <c r="P1120" i="7"/>
  <c r="O1120" i="7"/>
  <c r="C1116" i="7"/>
  <c r="D1120" i="7"/>
  <c r="J1120" i="7"/>
  <c r="P1119" i="7"/>
  <c r="I1119" i="7"/>
  <c r="O1119" i="7"/>
  <c r="J1119" i="7"/>
  <c r="D1119" i="7"/>
  <c r="C1119" i="7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I1116" i="7"/>
  <c r="P1116" i="7"/>
  <c r="O1116" i="7"/>
  <c r="J1116" i="7"/>
  <c r="O1113" i="7"/>
  <c r="D1116" i="7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F412" i="7"/>
  <c r="F477" i="7"/>
  <c r="I1112" i="7"/>
  <c r="P1112" i="7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P1109" i="7"/>
  <c r="I1109" i="7"/>
  <c r="J1109" i="7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E794" i="7"/>
  <c r="E826" i="7"/>
  <c r="E858" i="7"/>
  <c r="E890" i="7"/>
  <c r="E922" i="7"/>
  <c r="E954" i="7"/>
  <c r="E986" i="7"/>
  <c r="E1018" i="7"/>
  <c r="E1050" i="7"/>
  <c r="E1082" i="7"/>
  <c r="G1082" i="7" s="1"/>
  <c r="E435" i="7"/>
  <c r="G435" i="7" s="1"/>
  <c r="E475" i="7"/>
  <c r="E945" i="7"/>
  <c r="E412" i="7"/>
  <c r="E476" i="7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E5" i="4"/>
  <c r="B5" i="4"/>
  <c r="D5" i="4"/>
  <c r="F5" i="4"/>
  <c r="C5" i="4"/>
  <c r="G5" i="4"/>
  <c r="N1191" i="7" l="1"/>
  <c r="M1188" i="7"/>
  <c r="N1188" i="7" s="1"/>
  <c r="Q1188" i="7"/>
  <c r="J1188" i="8" s="1"/>
  <c r="Q1189" i="7"/>
  <c r="R1189" i="7" s="1"/>
  <c r="C1189" i="8" s="1"/>
  <c r="G841" i="7"/>
  <c r="M1185" i="7"/>
  <c r="J1189" i="8"/>
  <c r="N1189" i="7"/>
  <c r="G1185" i="7"/>
  <c r="N1185" i="7" s="1"/>
  <c r="Q1185" i="7"/>
  <c r="R1185" i="7" s="1"/>
  <c r="C1185" i="8" s="1"/>
  <c r="M1187" i="7"/>
  <c r="N1187" i="7" s="1"/>
  <c r="Q1186" i="7"/>
  <c r="J1186" i="8" s="1"/>
  <c r="Q1187" i="7"/>
  <c r="G1186" i="7"/>
  <c r="N1186" i="7" s="1"/>
  <c r="M1183" i="7"/>
  <c r="Q1184" i="7"/>
  <c r="J1184" i="8" s="1"/>
  <c r="G476" i="7"/>
  <c r="G986" i="7"/>
  <c r="G1183" i="7"/>
  <c r="G1184" i="7"/>
  <c r="N1184" i="7" s="1"/>
  <c r="Q1183" i="7"/>
  <c r="R1183" i="7" s="1"/>
  <c r="C1183" i="8" s="1"/>
  <c r="G1182" i="7"/>
  <c r="G1180" i="7"/>
  <c r="N1180" i="7" s="1"/>
  <c r="M1182" i="7"/>
  <c r="Q1182" i="7"/>
  <c r="R1182" i="7" s="1"/>
  <c r="C1182" i="8" s="1"/>
  <c r="M1179" i="7"/>
  <c r="Q1180" i="7"/>
  <c r="J1180" i="8" s="1"/>
  <c r="G1018" i="7"/>
  <c r="G1175" i="7"/>
  <c r="G1181" i="7"/>
  <c r="M1178" i="7"/>
  <c r="G1179" i="7"/>
  <c r="M1181" i="7"/>
  <c r="Q1181" i="7"/>
  <c r="B1168" i="6"/>
  <c r="B1163" i="6"/>
  <c r="B1173" i="6"/>
  <c r="Q1179" i="7"/>
  <c r="R1179" i="7" s="1"/>
  <c r="C1179" i="8" s="1"/>
  <c r="G554" i="7"/>
  <c r="G882" i="7"/>
  <c r="E1126" i="7"/>
  <c r="B1137" i="6"/>
  <c r="B1118" i="6"/>
  <c r="B1113" i="6"/>
  <c r="B1164" i="6"/>
  <c r="G1178" i="7"/>
  <c r="B1145" i="6"/>
  <c r="B1148" i="6"/>
  <c r="B1170" i="6"/>
  <c r="B1129" i="6"/>
  <c r="B1134" i="6"/>
  <c r="Q1178" i="7"/>
  <c r="J1178" i="8" s="1"/>
  <c r="M1177" i="7"/>
  <c r="B1120" i="6"/>
  <c r="B1130" i="6"/>
  <c r="B1169" i="6"/>
  <c r="B1136" i="6"/>
  <c r="G793" i="7"/>
  <c r="G762" i="7"/>
  <c r="B1119" i="6"/>
  <c r="B1152" i="6"/>
  <c r="B1154" i="6"/>
  <c r="B1143" i="6"/>
  <c r="B1149" i="6"/>
  <c r="B1165" i="6"/>
  <c r="B1172" i="6"/>
  <c r="B1159" i="6"/>
  <c r="B1125" i="6"/>
  <c r="B1116" i="6"/>
  <c r="B1107" i="6"/>
  <c r="B1158" i="6"/>
  <c r="B1141" i="6"/>
  <c r="B1135" i="6"/>
  <c r="B1144" i="6"/>
  <c r="B1157" i="6"/>
  <c r="B1155" i="6"/>
  <c r="B1133" i="6"/>
  <c r="B1112" i="6"/>
  <c r="E1153" i="7"/>
  <c r="B1160" i="6"/>
  <c r="B1114" i="6"/>
  <c r="B1151" i="6"/>
  <c r="B1123" i="6"/>
  <c r="B1127" i="6"/>
  <c r="G969" i="7"/>
  <c r="B1162" i="6"/>
  <c r="B1124" i="6"/>
  <c r="B1110" i="6"/>
  <c r="B1138" i="6"/>
  <c r="B1132" i="6"/>
  <c r="B1115" i="6"/>
  <c r="B1121" i="6"/>
  <c r="B1166" i="6"/>
  <c r="B1147" i="6"/>
  <c r="B1142" i="6"/>
  <c r="B1167" i="6"/>
  <c r="B1171" i="6"/>
  <c r="B1153" i="6"/>
  <c r="B1156" i="6"/>
  <c r="B1117" i="6"/>
  <c r="B1122" i="6"/>
  <c r="B1146" i="6"/>
  <c r="B1140" i="6"/>
  <c r="B1106" i="6"/>
  <c r="B1161" i="6"/>
  <c r="B1109" i="6"/>
  <c r="B1139" i="6"/>
  <c r="M1176" i="7"/>
  <c r="Q1177" i="7"/>
  <c r="J1177" i="8" s="1"/>
  <c r="G1176" i="7"/>
  <c r="B1175" i="6"/>
  <c r="B1150" i="6"/>
  <c r="B1111" i="6"/>
  <c r="B1174" i="6"/>
  <c r="B1131" i="6"/>
  <c r="B1176" i="6"/>
  <c r="R1177" i="7"/>
  <c r="C1177" i="8" s="1"/>
  <c r="G1177" i="7"/>
  <c r="M1175" i="7"/>
  <c r="Q1176" i="7"/>
  <c r="R1176" i="7" s="1"/>
  <c r="C1176" i="8" s="1"/>
  <c r="Q1175" i="7"/>
  <c r="R1175" i="7" s="1"/>
  <c r="C1175" i="8" s="1"/>
  <c r="M1174" i="7"/>
  <c r="Q1174" i="7"/>
  <c r="J1174" i="8" s="1"/>
  <c r="G1173" i="7"/>
  <c r="G1174" i="7"/>
  <c r="M1173" i="7"/>
  <c r="Q1173" i="7"/>
  <c r="R1173" i="7" s="1"/>
  <c r="C1173" i="8" s="1"/>
  <c r="G1172" i="7"/>
  <c r="Q1172" i="7"/>
  <c r="J1172" i="8" s="1"/>
  <c r="M1172" i="7"/>
  <c r="G1170" i="7"/>
  <c r="M1171" i="7"/>
  <c r="G1171" i="7"/>
  <c r="Q1171" i="7"/>
  <c r="J1171" i="8" s="1"/>
  <c r="M1170" i="7"/>
  <c r="Q1170" i="7"/>
  <c r="R1170" i="7" s="1"/>
  <c r="C1170" i="8" s="1"/>
  <c r="M1169" i="7"/>
  <c r="F1157" i="7"/>
  <c r="G1169" i="7"/>
  <c r="Q1169" i="7"/>
  <c r="R1169" i="7" s="1"/>
  <c r="C1169" i="8" s="1"/>
  <c r="K1163" i="7"/>
  <c r="E1168" i="7"/>
  <c r="F1168" i="7"/>
  <c r="Q1168" i="7"/>
  <c r="R1168" i="7" s="1"/>
  <c r="C1168" i="8" s="1"/>
  <c r="K1168" i="7"/>
  <c r="L1168" i="7"/>
  <c r="Q1166" i="7"/>
  <c r="J1166" i="8" s="1"/>
  <c r="L1167" i="7"/>
  <c r="M1167" i="7" s="1"/>
  <c r="J1167" i="8"/>
  <c r="K1165" i="7"/>
  <c r="E1167" i="7"/>
  <c r="F1167" i="7"/>
  <c r="K1166" i="7"/>
  <c r="E1166" i="7"/>
  <c r="F1166" i="7"/>
  <c r="L1166" i="7"/>
  <c r="K1164" i="7"/>
  <c r="Q1165" i="7"/>
  <c r="J1165" i="8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E1160" i="7"/>
  <c r="F1160" i="7"/>
  <c r="L1157" i="7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K1157" i="7"/>
  <c r="Q1156" i="7"/>
  <c r="J1156" i="8" s="1"/>
  <c r="E1156" i="7"/>
  <c r="F1156" i="7"/>
  <c r="L1156" i="7"/>
  <c r="F1155" i="7"/>
  <c r="Q1155" i="7"/>
  <c r="R1155" i="7" s="1"/>
  <c r="C1155" i="8" s="1"/>
  <c r="E1155" i="7"/>
  <c r="L1155" i="7"/>
  <c r="L1154" i="7"/>
  <c r="K1155" i="7"/>
  <c r="Q1154" i="7"/>
  <c r="J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Q1152" i="7"/>
  <c r="K1152" i="7"/>
  <c r="E1152" i="7"/>
  <c r="F1152" i="7"/>
  <c r="K1151" i="7"/>
  <c r="L1151" i="7"/>
  <c r="F1151" i="7"/>
  <c r="E1151" i="7"/>
  <c r="Q1150" i="7"/>
  <c r="R1150" i="7" s="1"/>
  <c r="K1150" i="7"/>
  <c r="E1150" i="7"/>
  <c r="F1150" i="7"/>
  <c r="L1150" i="7"/>
  <c r="Q1149" i="7"/>
  <c r="R1149" i="7" s="1"/>
  <c r="K1149" i="7"/>
  <c r="E1149" i="7"/>
  <c r="F1149" i="7"/>
  <c r="L1149" i="7"/>
  <c r="Q1147" i="7"/>
  <c r="R1147" i="7" s="1"/>
  <c r="Q1148" i="7"/>
  <c r="R1148" i="7" s="1"/>
  <c r="K1148" i="7"/>
  <c r="Q1144" i="7"/>
  <c r="L1148" i="7"/>
  <c r="E1148" i="7"/>
  <c r="F1148" i="7"/>
  <c r="K1147" i="7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B6" i="4"/>
  <c r="F6" i="4"/>
  <c r="C6" i="4"/>
  <c r="G6" i="4"/>
  <c r="E6" i="4"/>
  <c r="D6" i="4"/>
  <c r="R1188" i="7" l="1"/>
  <c r="C1188" i="8" s="1"/>
  <c r="C1188" i="6"/>
  <c r="D1188" i="6" s="1"/>
  <c r="K1189" i="8" s="1"/>
  <c r="R1186" i="7"/>
  <c r="C1186" i="8" s="1"/>
  <c r="J1185" i="8"/>
  <c r="N1175" i="7"/>
  <c r="N1183" i="7"/>
  <c r="C1184" i="6"/>
  <c r="D1184" i="6" s="1"/>
  <c r="K1185" i="8" s="1"/>
  <c r="C1186" i="6"/>
  <c r="D1186" i="6" s="1"/>
  <c r="K1187" i="8" s="1"/>
  <c r="C1187" i="6"/>
  <c r="D1187" i="6" s="1"/>
  <c r="K1188" i="8" s="1"/>
  <c r="C1185" i="6"/>
  <c r="D1185" i="6" s="1"/>
  <c r="K1186" i="8" s="1"/>
  <c r="R1187" i="7"/>
  <c r="C1187" i="8" s="1"/>
  <c r="J1187" i="8"/>
  <c r="R1184" i="7"/>
  <c r="C1184" i="8" s="1"/>
  <c r="C1183" i="6"/>
  <c r="D1183" i="6" s="1"/>
  <c r="K1184" i="8" s="1"/>
  <c r="G1153" i="7"/>
  <c r="R1180" i="7"/>
  <c r="C1180" i="8" s="1"/>
  <c r="N1182" i="7"/>
  <c r="J1183" i="8"/>
  <c r="C1182" i="6"/>
  <c r="D1182" i="6" s="1"/>
  <c r="K1183" i="8" s="1"/>
  <c r="N1179" i="7"/>
  <c r="J1182" i="8"/>
  <c r="C1181" i="6"/>
  <c r="D1181" i="6" s="1"/>
  <c r="K1182" i="8" s="1"/>
  <c r="N1178" i="7"/>
  <c r="N1181" i="7"/>
  <c r="J1181" i="8"/>
  <c r="R1181" i="7"/>
  <c r="C1181" i="8" s="1"/>
  <c r="C1180" i="6"/>
  <c r="D1180" i="6" s="1"/>
  <c r="K1181" i="8" s="1"/>
  <c r="C1179" i="6"/>
  <c r="D1179" i="6" s="1"/>
  <c r="K1180" i="8" s="1"/>
  <c r="J1179" i="8"/>
  <c r="C1178" i="6"/>
  <c r="D1178" i="6" s="1"/>
  <c r="K1179" i="8" s="1"/>
  <c r="R1178" i="7"/>
  <c r="C1178" i="8" s="1"/>
  <c r="N1177" i="7"/>
  <c r="C1177" i="6"/>
  <c r="D1177" i="6" s="1"/>
  <c r="K1178" i="8" s="1"/>
  <c r="C1175" i="6"/>
  <c r="D1175" i="6" s="1"/>
  <c r="K1176" i="8" s="1"/>
  <c r="C1160" i="6"/>
  <c r="D1160" i="6" s="1"/>
  <c r="C1149" i="6"/>
  <c r="D1149" i="6" s="1"/>
  <c r="K1150" i="8" s="1"/>
  <c r="C1162" i="6"/>
  <c r="D1162" i="6" s="1"/>
  <c r="C1163" i="6"/>
  <c r="D1163" i="6" s="1"/>
  <c r="C1147" i="6"/>
  <c r="D1147" i="6" s="1"/>
  <c r="K1148" i="8" s="1"/>
  <c r="C1168" i="6"/>
  <c r="D1168" i="6" s="1"/>
  <c r="K1169" i="8" s="1"/>
  <c r="C1148" i="6"/>
  <c r="D1148" i="6" s="1"/>
  <c r="K1149" i="8" s="1"/>
  <c r="C1151" i="6"/>
  <c r="D1151" i="6" s="1"/>
  <c r="C1155" i="6"/>
  <c r="D1155" i="6" s="1"/>
  <c r="K1156" i="8" s="1"/>
  <c r="C1167" i="6"/>
  <c r="D1167" i="6" s="1"/>
  <c r="C1154" i="6"/>
  <c r="D1154" i="6" s="1"/>
  <c r="K1155" i="8" s="1"/>
  <c r="C1173" i="6"/>
  <c r="D1173" i="6" s="1"/>
  <c r="K1174" i="8" s="1"/>
  <c r="C1152" i="6"/>
  <c r="D1152" i="6" s="1"/>
  <c r="C1166" i="6"/>
  <c r="D1166" i="6" s="1"/>
  <c r="C1169" i="6"/>
  <c r="D1169" i="6" s="1"/>
  <c r="K1170" i="8" s="1"/>
  <c r="C1171" i="6"/>
  <c r="D1171" i="6" s="1"/>
  <c r="K1172" i="8" s="1"/>
  <c r="C1176" i="6"/>
  <c r="D1176" i="6" s="1"/>
  <c r="C1159" i="6"/>
  <c r="D1159" i="6" s="1"/>
  <c r="C1164" i="6"/>
  <c r="D1164" i="6" s="1"/>
  <c r="C1172" i="6"/>
  <c r="D1172" i="6" s="1"/>
  <c r="K1173" i="8" s="1"/>
  <c r="C1157" i="6"/>
  <c r="D1157" i="6" s="1"/>
  <c r="N1176" i="7"/>
  <c r="C1153" i="6"/>
  <c r="D1153" i="6" s="1"/>
  <c r="C1156" i="6"/>
  <c r="D1156" i="6" s="1"/>
  <c r="K1157" i="8" s="1"/>
  <c r="C1161" i="6"/>
  <c r="D1161" i="6" s="1"/>
  <c r="C1165" i="6"/>
  <c r="D1165" i="6" s="1"/>
  <c r="C1170" i="6"/>
  <c r="D1170" i="6" s="1"/>
  <c r="K1171" i="8" s="1"/>
  <c r="C1158" i="6"/>
  <c r="D1158" i="6" s="1"/>
  <c r="C1150" i="6"/>
  <c r="D1150" i="6" s="1"/>
  <c r="C1174" i="6"/>
  <c r="D1174" i="6" s="1"/>
  <c r="K1175" i="8" s="1"/>
  <c r="J1176" i="8"/>
  <c r="J1175" i="8"/>
  <c r="N1174" i="7"/>
  <c r="R1174" i="7"/>
  <c r="C1174" i="8" s="1"/>
  <c r="N1173" i="7"/>
  <c r="G1157" i="7"/>
  <c r="J1173" i="8"/>
  <c r="N1170" i="7"/>
  <c r="N1172" i="7"/>
  <c r="R1172" i="7"/>
  <c r="C1172" i="8" s="1"/>
  <c r="N1171" i="7"/>
  <c r="R1171" i="7"/>
  <c r="C1171" i="8" s="1"/>
  <c r="J1170" i="8"/>
  <c r="N1169" i="7"/>
  <c r="J1169" i="8"/>
  <c r="M1163" i="7"/>
  <c r="G1168" i="7"/>
  <c r="M1168" i="7"/>
  <c r="J1168" i="8"/>
  <c r="R1166" i="7"/>
  <c r="C1166" i="8" s="1"/>
  <c r="M1165" i="7"/>
  <c r="G1167" i="7"/>
  <c r="N1167" i="7" s="1"/>
  <c r="M1161" i="7"/>
  <c r="M1166" i="7"/>
  <c r="M1164" i="7"/>
  <c r="G1166" i="7"/>
  <c r="G1165" i="7"/>
  <c r="R1165" i="7"/>
  <c r="C1165" i="8" s="1"/>
  <c r="M1160" i="7"/>
  <c r="J1159" i="8"/>
  <c r="G1163" i="7"/>
  <c r="G1164" i="7"/>
  <c r="J1164" i="8"/>
  <c r="R1163" i="7"/>
  <c r="C1163" i="8" s="1"/>
  <c r="J1160" i="8"/>
  <c r="R1161" i="7"/>
  <c r="C1161" i="8" s="1"/>
  <c r="G1161" i="7"/>
  <c r="J1162" i="8"/>
  <c r="M1162" i="7"/>
  <c r="G1160" i="7"/>
  <c r="M1157" i="7"/>
  <c r="G1162" i="7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F7" i="4"/>
  <c r="E7" i="4"/>
  <c r="G7" i="4"/>
  <c r="C7" i="4"/>
  <c r="B7" i="4"/>
  <c r="G1188" i="6" l="1"/>
  <c r="E1188" i="6"/>
  <c r="F1188" i="6" s="1"/>
  <c r="D1189" i="8" s="1"/>
  <c r="E1184" i="6"/>
  <c r="F1184" i="6" s="1"/>
  <c r="D1185" i="8" s="1"/>
  <c r="E1185" i="6"/>
  <c r="F1185" i="6" s="1"/>
  <c r="D1186" i="8" s="1"/>
  <c r="G1186" i="6"/>
  <c r="K1167" i="8"/>
  <c r="E1186" i="6"/>
  <c r="F1186" i="6" s="1"/>
  <c r="D1187" i="8" s="1"/>
  <c r="G1185" i="6"/>
  <c r="G1184" i="6"/>
  <c r="K1168" i="8"/>
  <c r="E1187" i="6"/>
  <c r="F1187" i="6" s="1"/>
  <c r="D1188" i="8" s="1"/>
  <c r="G1187" i="6"/>
  <c r="G1183" i="6"/>
  <c r="K1164" i="8"/>
  <c r="E1183" i="6"/>
  <c r="F1183" i="6" s="1"/>
  <c r="D1184" i="8" s="1"/>
  <c r="G1182" i="6"/>
  <c r="L1183" i="8" s="1"/>
  <c r="K1163" i="8"/>
  <c r="E1182" i="6"/>
  <c r="F1182" i="6" s="1"/>
  <c r="D1183" i="8" s="1"/>
  <c r="K1162" i="8"/>
  <c r="E1181" i="6"/>
  <c r="F1181" i="6" s="1"/>
  <c r="D1182" i="8" s="1"/>
  <c r="G1181" i="6"/>
  <c r="K1160" i="8"/>
  <c r="E1179" i="6"/>
  <c r="F1179" i="6" s="1"/>
  <c r="D1180" i="8" s="1"/>
  <c r="K1161" i="8"/>
  <c r="E1180" i="6"/>
  <c r="F1180" i="6" s="1"/>
  <c r="D1181" i="8" s="1"/>
  <c r="G1179" i="6"/>
  <c r="G1180" i="6"/>
  <c r="G1163" i="6"/>
  <c r="L1164" i="8" s="1"/>
  <c r="G1175" i="6"/>
  <c r="L1176" i="8" s="1"/>
  <c r="G1167" i="6"/>
  <c r="H1167" i="6" s="1"/>
  <c r="B1168" i="8" s="1"/>
  <c r="K1159" i="8"/>
  <c r="E1178" i="6"/>
  <c r="F1178" i="6" s="1"/>
  <c r="D1179" i="8" s="1"/>
  <c r="K1166" i="8"/>
  <c r="G1178" i="6"/>
  <c r="G1165" i="6"/>
  <c r="L1166" i="8" s="1"/>
  <c r="K1153" i="8"/>
  <c r="K1151" i="8"/>
  <c r="G1160" i="6"/>
  <c r="H1160" i="6" s="1"/>
  <c r="B1161" i="8" s="1"/>
  <c r="G1162" i="6"/>
  <c r="H1162" i="6" s="1"/>
  <c r="B1163" i="8" s="1"/>
  <c r="G1164" i="6"/>
  <c r="H1164" i="6" s="1"/>
  <c r="B1165" i="8" s="1"/>
  <c r="G1168" i="6"/>
  <c r="L1169" i="8" s="1"/>
  <c r="K1158" i="8"/>
  <c r="E1177" i="6"/>
  <c r="F1177" i="6" s="1"/>
  <c r="D1178" i="8" s="1"/>
  <c r="K1165" i="8"/>
  <c r="G1177" i="6"/>
  <c r="E1173" i="6"/>
  <c r="F1173" i="6" s="1"/>
  <c r="D1174" i="8" s="1"/>
  <c r="E1172" i="6"/>
  <c r="F1172" i="6" s="1"/>
  <c r="D1173" i="8" s="1"/>
  <c r="K1152" i="8"/>
  <c r="E1167" i="6"/>
  <c r="F1167" i="6" s="1"/>
  <c r="D1168" i="8" s="1"/>
  <c r="G1169" i="6"/>
  <c r="L1170" i="8" s="1"/>
  <c r="G1161" i="6"/>
  <c r="H1161" i="6" s="1"/>
  <c r="B1162" i="8" s="1"/>
  <c r="G1176" i="6"/>
  <c r="L1177" i="8" s="1"/>
  <c r="K1177" i="8"/>
  <c r="E1170" i="6"/>
  <c r="F1170" i="6" s="1"/>
  <c r="D1171" i="8" s="1"/>
  <c r="G1172" i="6"/>
  <c r="H1172" i="6" s="1"/>
  <c r="B1173" i="8" s="1"/>
  <c r="K1154" i="8"/>
  <c r="G1166" i="6"/>
  <c r="L1167" i="8" s="1"/>
  <c r="G1173" i="6"/>
  <c r="L1174" i="8" s="1"/>
  <c r="E1169" i="6"/>
  <c r="F1169" i="6" s="1"/>
  <c r="D1170" i="8" s="1"/>
  <c r="G1170" i="6"/>
  <c r="H1170" i="6" s="1"/>
  <c r="B1171" i="8" s="1"/>
  <c r="E1171" i="6"/>
  <c r="F1171" i="6" s="1"/>
  <c r="D1172" i="8" s="1"/>
  <c r="E1168" i="6"/>
  <c r="F1168" i="6" s="1"/>
  <c r="D1169" i="8" s="1"/>
  <c r="G1171" i="6"/>
  <c r="L1172" i="8" s="1"/>
  <c r="E1174" i="6"/>
  <c r="F1174" i="6" s="1"/>
  <c r="D1175" i="8" s="1"/>
  <c r="G1174" i="6"/>
  <c r="H1174" i="6" s="1"/>
  <c r="B1175" i="8" s="1"/>
  <c r="E1176" i="6"/>
  <c r="F1176" i="6" s="1"/>
  <c r="D1177" i="8" s="1"/>
  <c r="E1175" i="6"/>
  <c r="F1175" i="6" s="1"/>
  <c r="D1176" i="8" s="1"/>
  <c r="N1157" i="7"/>
  <c r="N1163" i="7"/>
  <c r="N1168" i="7"/>
  <c r="N1165" i="7"/>
  <c r="N1164" i="7"/>
  <c r="N1166" i="7"/>
  <c r="N1161" i="7"/>
  <c r="N1160" i="7"/>
  <c r="N1162" i="7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B8" i="4"/>
  <c r="G8" i="4"/>
  <c r="F8" i="4"/>
  <c r="E8" i="4"/>
  <c r="C8" i="4"/>
  <c r="D8" i="4"/>
  <c r="H1188" i="6" l="1"/>
  <c r="B1189" i="8" s="1"/>
  <c r="E1189" i="8" s="1"/>
  <c r="L1189" i="8"/>
  <c r="E1173" i="8"/>
  <c r="L1168" i="8"/>
  <c r="H1187" i="6"/>
  <c r="B1188" i="8" s="1"/>
  <c r="E1188" i="8" s="1"/>
  <c r="L1188" i="8"/>
  <c r="L1185" i="8"/>
  <c r="H1184" i="6"/>
  <c r="B1185" i="8" s="1"/>
  <c r="E1185" i="8" s="1"/>
  <c r="H1185" i="6"/>
  <c r="B1186" i="8" s="1"/>
  <c r="E1186" i="8" s="1"/>
  <c r="L1186" i="8"/>
  <c r="H1186" i="6"/>
  <c r="B1187" i="8" s="1"/>
  <c r="E1187" i="8" s="1"/>
  <c r="L1187" i="8"/>
  <c r="L1184" i="8"/>
  <c r="H1183" i="6"/>
  <c r="B1184" i="8" s="1"/>
  <c r="E1184" i="8" s="1"/>
  <c r="H1182" i="6"/>
  <c r="B1183" i="8" s="1"/>
  <c r="E1183" i="8" s="1"/>
  <c r="L1182" i="8"/>
  <c r="H1181" i="6"/>
  <c r="B1182" i="8" s="1"/>
  <c r="E1182" i="8" s="1"/>
  <c r="L1163" i="8"/>
  <c r="H1175" i="6"/>
  <c r="B1176" i="8" s="1"/>
  <c r="E1176" i="8" s="1"/>
  <c r="H1180" i="6"/>
  <c r="B1181" i="8" s="1"/>
  <c r="E1181" i="8" s="1"/>
  <c r="L1181" i="8"/>
  <c r="L1180" i="8"/>
  <c r="H1179" i="6"/>
  <c r="B1180" i="8" s="1"/>
  <c r="E1180" i="8" s="1"/>
  <c r="H1176" i="6"/>
  <c r="B1177" i="8" s="1"/>
  <c r="E1177" i="8" s="1"/>
  <c r="H1163" i="6"/>
  <c r="B1164" i="8" s="1"/>
  <c r="L1161" i="8"/>
  <c r="L1165" i="8"/>
  <c r="H1169" i="6"/>
  <c r="B1170" i="8" s="1"/>
  <c r="E1170" i="8" s="1"/>
  <c r="H1173" i="6"/>
  <c r="B1174" i="8" s="1"/>
  <c r="E1174" i="8" s="1"/>
  <c r="H1165" i="6"/>
  <c r="B1166" i="8" s="1"/>
  <c r="H1178" i="6"/>
  <c r="B1179" i="8" s="1"/>
  <c r="E1179" i="8" s="1"/>
  <c r="L1179" i="8"/>
  <c r="H1168" i="6"/>
  <c r="B1169" i="8" s="1"/>
  <c r="E1169" i="8" s="1"/>
  <c r="L1162" i="8"/>
  <c r="E1171" i="8"/>
  <c r="L1171" i="8"/>
  <c r="H1171" i="6"/>
  <c r="B1172" i="8" s="1"/>
  <c r="E1172" i="8" s="1"/>
  <c r="E1175" i="8"/>
  <c r="H1166" i="6"/>
  <c r="B1167" i="8" s="1"/>
  <c r="L1178" i="8"/>
  <c r="H1177" i="6"/>
  <c r="B1178" i="8" s="1"/>
  <c r="E1178" i="8" s="1"/>
  <c r="L1173" i="8"/>
  <c r="E1168" i="8"/>
  <c r="L1175" i="8"/>
  <c r="B7" i="6"/>
  <c r="I8" i="4"/>
  <c r="H8" i="4"/>
  <c r="A8" i="6"/>
  <c r="A9" i="8" s="1"/>
  <c r="D9" i="4"/>
  <c r="C9" i="4"/>
  <c r="E9" i="4"/>
  <c r="F9" i="4"/>
  <c r="B9" i="4"/>
  <c r="G9" i="4"/>
  <c r="I9" i="4" l="1"/>
  <c r="H9" i="4"/>
  <c r="A9" i="6"/>
  <c r="A10" i="8" s="1"/>
  <c r="B8" i="6"/>
  <c r="B10" i="4"/>
  <c r="D10" i="4"/>
  <c r="E10" i="4"/>
  <c r="G10" i="4"/>
  <c r="C10" i="4"/>
  <c r="F10" i="4"/>
  <c r="I10" i="4" l="1"/>
  <c r="H10" i="4"/>
  <c r="A10" i="6"/>
  <c r="A11" i="8" s="1"/>
  <c r="B9" i="6"/>
  <c r="F11" i="4"/>
  <c r="E11" i="4"/>
  <c r="C11" i="4"/>
  <c r="B11" i="4"/>
  <c r="G11" i="4"/>
  <c r="D11" i="4"/>
  <c r="H11" i="4" l="1"/>
  <c r="I11" i="4"/>
  <c r="A11" i="6"/>
  <c r="A12" i="8" s="1"/>
  <c r="B10" i="6"/>
  <c r="B12" i="4"/>
  <c r="C12" i="4"/>
  <c r="G12" i="4"/>
  <c r="E12" i="4"/>
  <c r="D12" i="4"/>
  <c r="F12" i="4"/>
  <c r="B11" i="6" l="1"/>
  <c r="I12" i="4"/>
  <c r="H12" i="4"/>
  <c r="A12" i="6"/>
  <c r="A13" i="8" s="1"/>
  <c r="F13" i="4"/>
  <c r="B13" i="4"/>
  <c r="C13" i="4"/>
  <c r="G13" i="4"/>
  <c r="E13" i="4"/>
  <c r="D13" i="4"/>
  <c r="H13" i="4" l="1"/>
  <c r="I13" i="4"/>
  <c r="A13" i="6"/>
  <c r="A14" i="8" s="1"/>
  <c r="B12" i="6"/>
  <c r="D14" i="4"/>
  <c r="E14" i="4"/>
  <c r="G14" i="4"/>
  <c r="B14" i="4"/>
  <c r="F14" i="4"/>
  <c r="C14" i="4"/>
  <c r="B13" i="6" l="1"/>
  <c r="H14" i="4"/>
  <c r="I14" i="4"/>
  <c r="A14" i="6"/>
  <c r="A15" i="8" s="1"/>
  <c r="B15" i="4"/>
  <c r="G15" i="4"/>
  <c r="C15" i="4"/>
  <c r="D15" i="4"/>
  <c r="E15" i="4"/>
  <c r="F15" i="4"/>
  <c r="B14" i="6" l="1"/>
  <c r="H15" i="4"/>
  <c r="I15" i="4"/>
  <c r="A15" i="6"/>
  <c r="A16" i="8" s="1"/>
  <c r="B16" i="4"/>
  <c r="F16" i="4"/>
  <c r="G16" i="4"/>
  <c r="E16" i="4"/>
  <c r="D16" i="4"/>
  <c r="C16" i="4"/>
  <c r="B15" i="6" l="1"/>
  <c r="I16" i="4"/>
  <c r="H16" i="4"/>
  <c r="A16" i="6"/>
  <c r="A17" i="8" s="1"/>
  <c r="D17" i="4"/>
  <c r="G17" i="4"/>
  <c r="B17" i="4"/>
  <c r="F17" i="4"/>
  <c r="E17" i="4"/>
  <c r="C17" i="4"/>
  <c r="I17" i="4" l="1"/>
  <c r="H17" i="4"/>
  <c r="A17" i="6"/>
  <c r="A18" i="8" s="1"/>
  <c r="B16" i="6"/>
  <c r="G18" i="4"/>
  <c r="E18" i="4"/>
  <c r="C18" i="4"/>
  <c r="F18" i="4"/>
  <c r="D18" i="4"/>
  <c r="B18" i="4"/>
  <c r="H18" i="4" l="1"/>
  <c r="I18" i="4"/>
  <c r="A18" i="6"/>
  <c r="A19" i="8" s="1"/>
  <c r="B17" i="6"/>
  <c r="D19" i="4"/>
  <c r="G19" i="4"/>
  <c r="F19" i="4"/>
  <c r="C19" i="4"/>
  <c r="B19" i="4"/>
  <c r="E19" i="4"/>
  <c r="B18" i="6" l="1"/>
  <c r="H19" i="4"/>
  <c r="I19" i="4"/>
  <c r="A19" i="6"/>
  <c r="A20" i="8" s="1"/>
  <c r="F20" i="4"/>
  <c r="B20" i="4"/>
  <c r="D20" i="4"/>
  <c r="E20" i="4"/>
  <c r="C20" i="4"/>
  <c r="G20" i="4"/>
  <c r="B19" i="6" l="1"/>
  <c r="I20" i="4"/>
  <c r="H20" i="4"/>
  <c r="A20" i="6"/>
  <c r="A21" i="8" s="1"/>
  <c r="D21" i="4"/>
  <c r="F21" i="4"/>
  <c r="C21" i="4"/>
  <c r="G21" i="4"/>
  <c r="E21" i="4"/>
  <c r="B21" i="4"/>
  <c r="H21" i="4" l="1"/>
  <c r="I21" i="4"/>
  <c r="A21" i="6"/>
  <c r="A22" i="8" s="1"/>
  <c r="B20" i="6"/>
  <c r="F22" i="4"/>
  <c r="C22" i="4"/>
  <c r="D22" i="4"/>
  <c r="E22" i="4"/>
  <c r="B22" i="4"/>
  <c r="G22" i="4"/>
  <c r="B21" i="6" l="1"/>
  <c r="I22" i="4"/>
  <c r="H22" i="4"/>
  <c r="A22" i="6"/>
  <c r="A23" i="8" s="1"/>
  <c r="F23" i="4"/>
  <c r="B23" i="4"/>
  <c r="G23" i="4"/>
  <c r="E23" i="4"/>
  <c r="C23" i="4"/>
  <c r="D23" i="4"/>
  <c r="I23" i="4" l="1"/>
  <c r="H23" i="4"/>
  <c r="A23" i="6"/>
  <c r="A24" i="8" s="1"/>
  <c r="B22" i="6"/>
  <c r="B24" i="4"/>
  <c r="D24" i="4"/>
  <c r="G24" i="4"/>
  <c r="C24" i="4"/>
  <c r="E24" i="4"/>
  <c r="F24" i="4"/>
  <c r="H24" i="4" l="1"/>
  <c r="I24" i="4"/>
  <c r="A24" i="6"/>
  <c r="A25" i="8" s="1"/>
  <c r="B23" i="6"/>
  <c r="B25" i="4"/>
  <c r="C25" i="4"/>
  <c r="D25" i="4"/>
  <c r="E25" i="4"/>
  <c r="F25" i="4"/>
  <c r="G25" i="4"/>
  <c r="B24" i="6" l="1"/>
  <c r="I25" i="4"/>
  <c r="H25" i="4"/>
  <c r="A25" i="6"/>
  <c r="A26" i="8" s="1"/>
  <c r="G26" i="4"/>
  <c r="E26" i="4"/>
  <c r="D26" i="4"/>
  <c r="F26" i="4"/>
  <c r="B26" i="4"/>
  <c r="C26" i="4"/>
  <c r="H26" i="4" l="1"/>
  <c r="I26" i="4"/>
  <c r="A26" i="6"/>
  <c r="A27" i="8" s="1"/>
  <c r="B25" i="6"/>
  <c r="B27" i="4"/>
  <c r="E27" i="4"/>
  <c r="D27" i="4"/>
  <c r="G27" i="4"/>
  <c r="C27" i="4"/>
  <c r="F27" i="4"/>
  <c r="B26" i="6" l="1"/>
  <c r="I27" i="4"/>
  <c r="H27" i="4"/>
  <c r="A27" i="6"/>
  <c r="A28" i="8" s="1"/>
  <c r="D28" i="4"/>
  <c r="C28" i="4"/>
  <c r="G28" i="4"/>
  <c r="F28" i="4"/>
  <c r="B28" i="4"/>
  <c r="E28" i="4"/>
  <c r="H28" i="4" l="1"/>
  <c r="I28" i="4"/>
  <c r="A28" i="6"/>
  <c r="A29" i="8" s="1"/>
  <c r="B27" i="6"/>
  <c r="B29" i="4"/>
  <c r="D29" i="4"/>
  <c r="E29" i="4"/>
  <c r="F29" i="4"/>
  <c r="C29" i="4"/>
  <c r="G29" i="4"/>
  <c r="B28" i="6" l="1"/>
  <c r="H29" i="4"/>
  <c r="I29" i="4"/>
  <c r="A29" i="6"/>
  <c r="A30" i="8" s="1"/>
  <c r="C30" i="4"/>
  <c r="B30" i="4"/>
  <c r="G30" i="4"/>
  <c r="F30" i="4"/>
  <c r="E30" i="4"/>
  <c r="D30" i="4"/>
  <c r="B29" i="6" l="1"/>
  <c r="H30" i="4"/>
  <c r="I30" i="4"/>
  <c r="A30" i="6"/>
  <c r="A31" i="8" s="1"/>
  <c r="E31" i="4"/>
  <c r="F31" i="4"/>
  <c r="D31" i="4"/>
  <c r="C31" i="4"/>
  <c r="G31" i="4"/>
  <c r="B31" i="4"/>
  <c r="B30" i="6" l="1"/>
  <c r="H31" i="4"/>
  <c r="I31" i="4"/>
  <c r="A31" i="6"/>
  <c r="A32" i="8" s="1"/>
  <c r="G32" i="4"/>
  <c r="F32" i="4"/>
  <c r="D32" i="4"/>
  <c r="C32" i="4"/>
  <c r="E32" i="4"/>
  <c r="B32" i="4"/>
  <c r="B31" i="6" l="1"/>
  <c r="I32" i="4"/>
  <c r="H32" i="4"/>
  <c r="A32" i="6"/>
  <c r="A33" i="8" s="1"/>
  <c r="E33" i="4"/>
  <c r="B33" i="4"/>
  <c r="G33" i="4"/>
  <c r="F33" i="4"/>
  <c r="C33" i="4"/>
  <c r="D33" i="4"/>
  <c r="B32" i="6" l="1"/>
  <c r="I33" i="4"/>
  <c r="H33" i="4"/>
  <c r="A33" i="6"/>
  <c r="A34" i="8" s="1"/>
  <c r="F34" i="4"/>
  <c r="C34" i="4"/>
  <c r="E34" i="4"/>
  <c r="G34" i="4"/>
  <c r="B34" i="4"/>
  <c r="D34" i="4"/>
  <c r="H34" i="4" l="1"/>
  <c r="I34" i="4"/>
  <c r="A34" i="6"/>
  <c r="A35" i="8" s="1"/>
  <c r="B33" i="6"/>
  <c r="D35" i="4"/>
  <c r="C35" i="4"/>
  <c r="B35" i="4"/>
  <c r="E35" i="4"/>
  <c r="G35" i="4"/>
  <c r="F35" i="4"/>
  <c r="B34" i="6" l="1"/>
  <c r="I35" i="4"/>
  <c r="H35" i="4"/>
  <c r="A35" i="6"/>
  <c r="A36" i="8" s="1"/>
  <c r="D36" i="4"/>
  <c r="E36" i="4"/>
  <c r="B36" i="4"/>
  <c r="C36" i="4"/>
  <c r="G36" i="4"/>
  <c r="F36" i="4"/>
  <c r="I36" i="4" l="1"/>
  <c r="H36" i="4"/>
  <c r="A36" i="6"/>
  <c r="A37" i="8" s="1"/>
  <c r="B35" i="6"/>
  <c r="D37" i="4"/>
  <c r="F37" i="4"/>
  <c r="G37" i="4"/>
  <c r="C37" i="4"/>
  <c r="B37" i="4"/>
  <c r="E37" i="4"/>
  <c r="H37" i="4" l="1"/>
  <c r="I37" i="4"/>
  <c r="A37" i="6"/>
  <c r="A38" i="8" s="1"/>
  <c r="B36" i="6"/>
  <c r="F38" i="4"/>
  <c r="E38" i="4"/>
  <c r="B38" i="4"/>
  <c r="C38" i="4"/>
  <c r="D38" i="4"/>
  <c r="G38" i="4"/>
  <c r="B37" i="6" l="1"/>
  <c r="I38" i="4"/>
  <c r="H38" i="4"/>
  <c r="A38" i="6"/>
  <c r="A39" i="8" s="1"/>
  <c r="F39" i="4"/>
  <c r="D39" i="4"/>
  <c r="G39" i="4"/>
  <c r="C39" i="4"/>
  <c r="E39" i="4"/>
  <c r="B39" i="4"/>
  <c r="H39" i="4" l="1"/>
  <c r="I39" i="4"/>
  <c r="A39" i="6"/>
  <c r="A40" i="8" s="1"/>
  <c r="B38" i="6"/>
  <c r="B40" i="4"/>
  <c r="D40" i="4"/>
  <c r="F40" i="4"/>
  <c r="C40" i="4"/>
  <c r="G40" i="4"/>
  <c r="E40" i="4"/>
  <c r="B39" i="6" l="1"/>
  <c r="H40" i="4"/>
  <c r="I40" i="4"/>
  <c r="A40" i="6"/>
  <c r="A41" i="8" s="1"/>
  <c r="D41" i="4"/>
  <c r="C41" i="4"/>
  <c r="G41" i="4"/>
  <c r="F41" i="4"/>
  <c r="E41" i="4"/>
  <c r="B41" i="4"/>
  <c r="B40" i="6" l="1"/>
  <c r="I41" i="4"/>
  <c r="H41" i="4"/>
  <c r="A41" i="6"/>
  <c r="A42" i="8" s="1"/>
  <c r="F42" i="4"/>
  <c r="E42" i="4"/>
  <c r="C42" i="4"/>
  <c r="G42" i="4"/>
  <c r="D42" i="4"/>
  <c r="B42" i="4"/>
  <c r="I42" i="4" l="1"/>
  <c r="H42" i="4"/>
  <c r="A42" i="6"/>
  <c r="A43" i="8" s="1"/>
  <c r="B41" i="6"/>
  <c r="E43" i="4"/>
  <c r="F43" i="4"/>
  <c r="G43" i="4"/>
  <c r="C43" i="4"/>
  <c r="D43" i="4"/>
  <c r="B43" i="4"/>
  <c r="I43" i="4" l="1"/>
  <c r="H43" i="4"/>
  <c r="A43" i="6"/>
  <c r="A44" i="8" s="1"/>
  <c r="B42" i="6"/>
  <c r="F44" i="4"/>
  <c r="B44" i="4"/>
  <c r="G44" i="4"/>
  <c r="C44" i="4"/>
  <c r="E44" i="4"/>
  <c r="D44" i="4"/>
  <c r="I44" i="4" l="1"/>
  <c r="H44" i="4"/>
  <c r="A44" i="6"/>
  <c r="A45" i="8" s="1"/>
  <c r="B43" i="6"/>
  <c r="F45" i="4"/>
  <c r="D45" i="4"/>
  <c r="B45" i="4"/>
  <c r="E45" i="4"/>
  <c r="G45" i="4"/>
  <c r="C45" i="4"/>
  <c r="B44" i="6" l="1"/>
  <c r="I45" i="4"/>
  <c r="H45" i="4"/>
  <c r="A45" i="6"/>
  <c r="A46" i="8" s="1"/>
  <c r="D46" i="4"/>
  <c r="B46" i="4"/>
  <c r="F46" i="4"/>
  <c r="E46" i="4"/>
  <c r="C46" i="4"/>
  <c r="G46" i="4"/>
  <c r="C44" i="6" l="1"/>
  <c r="D44" i="6" s="1"/>
  <c r="H46" i="4"/>
  <c r="I46" i="4"/>
  <c r="A46" i="6"/>
  <c r="A47" i="8" s="1"/>
  <c r="B45" i="6"/>
  <c r="G47" i="4"/>
  <c r="B47" i="4"/>
  <c r="C47" i="4"/>
  <c r="E47" i="4"/>
  <c r="D47" i="4"/>
  <c r="F47" i="4"/>
  <c r="B46" i="6" l="1"/>
  <c r="C46" i="6" s="1"/>
  <c r="D46" i="6" s="1"/>
  <c r="K45" i="8"/>
  <c r="C45" i="6"/>
  <c r="D45" i="6" s="1"/>
  <c r="H47" i="4"/>
  <c r="I47" i="4"/>
  <c r="A47" i="6"/>
  <c r="A48" i="8" s="1"/>
  <c r="D48" i="4"/>
  <c r="F48" i="4"/>
  <c r="B48" i="4"/>
  <c r="C48" i="4"/>
  <c r="G48" i="4"/>
  <c r="E48" i="4"/>
  <c r="B47" i="6" l="1"/>
  <c r="C47" i="6" s="1"/>
  <c r="D47" i="6" s="1"/>
  <c r="K47" i="8"/>
  <c r="K46" i="8"/>
  <c r="I48" i="4"/>
  <c r="H48" i="4"/>
  <c r="A48" i="6"/>
  <c r="A49" i="8" s="1"/>
  <c r="F49" i="4"/>
  <c r="B49" i="4"/>
  <c r="D49" i="4"/>
  <c r="E49" i="4"/>
  <c r="C49" i="4"/>
  <c r="G49" i="4"/>
  <c r="K48" i="8" l="1"/>
  <c r="H49" i="4"/>
  <c r="I49" i="4"/>
  <c r="A49" i="6"/>
  <c r="A50" i="8" s="1"/>
  <c r="B48" i="6"/>
  <c r="G50" i="4"/>
  <c r="E50" i="4"/>
  <c r="C50" i="4"/>
  <c r="D50" i="4"/>
  <c r="B50" i="4"/>
  <c r="F50" i="4"/>
  <c r="B49" i="6" l="1"/>
  <c r="C49" i="6" s="1"/>
  <c r="D49" i="6" s="1"/>
  <c r="C48" i="6"/>
  <c r="D48" i="6" s="1"/>
  <c r="I50" i="4"/>
  <c r="H50" i="4"/>
  <c r="A50" i="6"/>
  <c r="A51" i="8" s="1"/>
  <c r="D51" i="4"/>
  <c r="G51" i="4"/>
  <c r="C51" i="4"/>
  <c r="E51" i="4"/>
  <c r="F51" i="4"/>
  <c r="B51" i="4"/>
  <c r="K49" i="8" l="1"/>
  <c r="K50" i="8"/>
  <c r="B50" i="6"/>
  <c r="I51" i="4"/>
  <c r="H51" i="4"/>
  <c r="A51" i="6"/>
  <c r="A52" i="8" s="1"/>
  <c r="F52" i="4"/>
  <c r="D52" i="4"/>
  <c r="C52" i="4"/>
  <c r="E52" i="4"/>
  <c r="G52" i="4"/>
  <c r="B52" i="4"/>
  <c r="C50" i="6" l="1"/>
  <c r="D50" i="6" s="1"/>
  <c r="H52" i="4"/>
  <c r="I52" i="4"/>
  <c r="A52" i="6"/>
  <c r="A53" i="8" s="1"/>
  <c r="B51" i="6"/>
  <c r="E53" i="4"/>
  <c r="D53" i="4"/>
  <c r="F53" i="4"/>
  <c r="C53" i="4"/>
  <c r="B53" i="4"/>
  <c r="G53" i="4"/>
  <c r="B52" i="6" l="1"/>
  <c r="C52" i="6" s="1"/>
  <c r="D52" i="6" s="1"/>
  <c r="K51" i="8"/>
  <c r="C51" i="6"/>
  <c r="D51" i="6" s="1"/>
  <c r="I53" i="4"/>
  <c r="H53" i="4"/>
  <c r="A53" i="6"/>
  <c r="A54" i="8" s="1"/>
  <c r="G54" i="4"/>
  <c r="E54" i="4"/>
  <c r="F54" i="4"/>
  <c r="B54" i="4"/>
  <c r="C54" i="4"/>
  <c r="D54" i="4"/>
  <c r="K52" i="8" l="1"/>
  <c r="K53" i="8"/>
  <c r="B53" i="6"/>
  <c r="I54" i="4"/>
  <c r="H54" i="4"/>
  <c r="A54" i="6"/>
  <c r="A55" i="8" s="1"/>
  <c r="G55" i="4"/>
  <c r="F55" i="4"/>
  <c r="E55" i="4"/>
  <c r="D55" i="4"/>
  <c r="B55" i="4"/>
  <c r="C55" i="4"/>
  <c r="B54" i="6" l="1"/>
  <c r="C53" i="6"/>
  <c r="D53" i="6" s="1"/>
  <c r="I55" i="4"/>
  <c r="H55" i="4"/>
  <c r="A55" i="6"/>
  <c r="A56" i="8" s="1"/>
  <c r="C56" i="4"/>
  <c r="D56" i="4"/>
  <c r="E56" i="4"/>
  <c r="G56" i="4"/>
  <c r="F56" i="4"/>
  <c r="B56" i="4"/>
  <c r="K54" i="8" l="1"/>
  <c r="C54" i="6"/>
  <c r="D54" i="6" s="1"/>
  <c r="B55" i="6"/>
  <c r="I56" i="4"/>
  <c r="H56" i="4"/>
  <c r="A56" i="6"/>
  <c r="A57" i="8" s="1"/>
  <c r="D57" i="4"/>
  <c r="G57" i="4"/>
  <c r="E57" i="4"/>
  <c r="F57" i="4"/>
  <c r="B57" i="4"/>
  <c r="C57" i="4"/>
  <c r="K55" i="8" l="1"/>
  <c r="C55" i="6"/>
  <c r="D55" i="6" s="1"/>
  <c r="H57" i="4"/>
  <c r="I57" i="4"/>
  <c r="A57" i="6"/>
  <c r="A58" i="8" s="1"/>
  <c r="B56" i="6"/>
  <c r="C58" i="4"/>
  <c r="E58" i="4"/>
  <c r="G58" i="4"/>
  <c r="D58" i="4"/>
  <c r="B58" i="4"/>
  <c r="F58" i="4"/>
  <c r="B57" i="6" l="1"/>
  <c r="C57" i="6" s="1"/>
  <c r="D57" i="6" s="1"/>
  <c r="K56" i="8"/>
  <c r="C56" i="6"/>
  <c r="D56" i="6" s="1"/>
  <c r="I58" i="4"/>
  <c r="H58" i="4"/>
  <c r="A58" i="6"/>
  <c r="A59" i="8" s="1"/>
  <c r="E59" i="4"/>
  <c r="G59" i="4"/>
  <c r="B59" i="4"/>
  <c r="F59" i="4"/>
  <c r="C59" i="4"/>
  <c r="D59" i="4"/>
  <c r="K58" i="8" l="1"/>
  <c r="G57" i="6"/>
  <c r="L58" i="8" s="1"/>
  <c r="K57" i="8"/>
  <c r="H59" i="4"/>
  <c r="I59" i="4"/>
  <c r="A59" i="6"/>
  <c r="A60" i="8" s="1"/>
  <c r="B58" i="6"/>
  <c r="E60" i="4"/>
  <c r="C60" i="4"/>
  <c r="B60" i="4"/>
  <c r="D60" i="4"/>
  <c r="F60" i="4"/>
  <c r="G60" i="4"/>
  <c r="B59" i="6" l="1"/>
  <c r="C59" i="6" s="1"/>
  <c r="D59" i="6" s="1"/>
  <c r="C58" i="6"/>
  <c r="D58" i="6" s="1"/>
  <c r="H60" i="4"/>
  <c r="I60" i="4"/>
  <c r="A60" i="6"/>
  <c r="A61" i="8" s="1"/>
  <c r="F61" i="4"/>
  <c r="B61" i="4"/>
  <c r="E61" i="4"/>
  <c r="D61" i="4"/>
  <c r="G61" i="4"/>
  <c r="C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F62" i="4"/>
  <c r="B62" i="4"/>
  <c r="G62" i="4"/>
  <c r="C62" i="4"/>
  <c r="E62" i="4"/>
  <c r="D62" i="4"/>
  <c r="K61" i="8" l="1"/>
  <c r="G60" i="6"/>
  <c r="L61" i="8" s="1"/>
  <c r="B61" i="6"/>
  <c r="I62" i="4"/>
  <c r="H62" i="4"/>
  <c r="A62" i="6"/>
  <c r="A63" i="8" s="1"/>
  <c r="F63" i="4"/>
  <c r="C63" i="4"/>
  <c r="E63" i="4"/>
  <c r="G63" i="4"/>
  <c r="D63" i="4"/>
  <c r="B63" i="4"/>
  <c r="C61" i="6" l="1"/>
  <c r="D61" i="6" s="1"/>
  <c r="H63" i="4"/>
  <c r="I63" i="4"/>
  <c r="A63" i="6"/>
  <c r="A64" i="8" s="1"/>
  <c r="B62" i="6"/>
  <c r="B64" i="4"/>
  <c r="D64" i="4"/>
  <c r="C64" i="4"/>
  <c r="G64" i="4"/>
  <c r="E64" i="4"/>
  <c r="F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D65" i="4"/>
  <c r="G65" i="4"/>
  <c r="B65" i="4"/>
  <c r="F65" i="4"/>
  <c r="C65" i="4"/>
  <c r="E65" i="4"/>
  <c r="K64" i="8" l="1"/>
  <c r="G63" i="6"/>
  <c r="L64" i="8" s="1"/>
  <c r="K63" i="8"/>
  <c r="G62" i="6"/>
  <c r="L63" i="8" s="1"/>
  <c r="I65" i="4"/>
  <c r="H65" i="4"/>
  <c r="A65" i="6"/>
  <c r="A66" i="8" s="1"/>
  <c r="B64" i="6"/>
  <c r="F66" i="4"/>
  <c r="G66" i="4"/>
  <c r="E66" i="4"/>
  <c r="C66" i="4"/>
  <c r="D66" i="4"/>
  <c r="B66" i="4"/>
  <c r="C64" i="6" l="1"/>
  <c r="D64" i="6" s="1"/>
  <c r="H66" i="4"/>
  <c r="I66" i="4"/>
  <c r="A66" i="6"/>
  <c r="A67" i="8" s="1"/>
  <c r="B65" i="6"/>
  <c r="B67" i="4"/>
  <c r="D67" i="4"/>
  <c r="C67" i="4"/>
  <c r="G67" i="4"/>
  <c r="F67" i="4"/>
  <c r="E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B68" i="4"/>
  <c r="G68" i="4"/>
  <c r="C68" i="4"/>
  <c r="D68" i="4"/>
  <c r="F68" i="4"/>
  <c r="E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D69" i="4"/>
  <c r="C69" i="4"/>
  <c r="E69" i="4"/>
  <c r="G69" i="4"/>
  <c r="F69" i="4"/>
  <c r="B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E70" i="4"/>
  <c r="F70" i="4"/>
  <c r="C70" i="4"/>
  <c r="D70" i="4"/>
  <c r="B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F71" i="4"/>
  <c r="E71" i="4"/>
  <c r="G71" i="4"/>
  <c r="D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G72" i="4"/>
  <c r="C72" i="4"/>
  <c r="E72" i="4"/>
  <c r="F72" i="4"/>
  <c r="D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C73" i="4"/>
  <c r="B73" i="4"/>
  <c r="D73" i="4"/>
  <c r="E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G74" i="4"/>
  <c r="D74" i="4"/>
  <c r="F74" i="4"/>
  <c r="C74" i="4"/>
  <c r="E74" i="4"/>
  <c r="B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F75" i="4"/>
  <c r="D75" i="4"/>
  <c r="B75" i="4"/>
  <c r="C75" i="4"/>
  <c r="E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D76" i="4"/>
  <c r="G76" i="4"/>
  <c r="C76" i="4"/>
  <c r="E76" i="4"/>
  <c r="F76" i="4"/>
  <c r="B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B77" i="4"/>
  <c r="D77" i="4"/>
  <c r="G77" i="4"/>
  <c r="F77" i="4"/>
  <c r="C77" i="4"/>
  <c r="E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E78" i="4"/>
  <c r="F78" i="4"/>
  <c r="B78" i="4"/>
  <c r="G78" i="4"/>
  <c r="D78" i="4"/>
  <c r="C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G79" i="4"/>
  <c r="B79" i="4"/>
  <c r="E79" i="4"/>
  <c r="D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D80" i="4"/>
  <c r="E80" i="4"/>
  <c r="F80" i="4"/>
  <c r="B80" i="4"/>
  <c r="C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C81" i="4"/>
  <c r="D81" i="4"/>
  <c r="E81" i="4"/>
  <c r="F81" i="4"/>
  <c r="G81" i="4"/>
  <c r="B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C82" i="4"/>
  <c r="D82" i="4"/>
  <c r="B82" i="4"/>
  <c r="E82" i="4"/>
  <c r="F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B83" i="4"/>
  <c r="G83" i="4"/>
  <c r="C83" i="4"/>
  <c r="D83" i="4"/>
  <c r="E83" i="4"/>
  <c r="F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B84" i="4"/>
  <c r="G84" i="4"/>
  <c r="F84" i="4"/>
  <c r="C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B85" i="4"/>
  <c r="D85" i="4"/>
  <c r="F85" i="4"/>
  <c r="E85" i="4"/>
  <c r="C85" i="4"/>
  <c r="G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C86" i="4"/>
  <c r="B86" i="4"/>
  <c r="G86" i="4"/>
  <c r="D86" i="4"/>
  <c r="E86" i="4"/>
  <c r="F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F87" i="4"/>
  <c r="E87" i="4"/>
  <c r="B87" i="4"/>
  <c r="G87" i="4"/>
  <c r="C87" i="4"/>
  <c r="D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C88" i="4"/>
  <c r="G88" i="4"/>
  <c r="B88" i="4"/>
  <c r="E88" i="4"/>
  <c r="D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F89" i="4"/>
  <c r="E89" i="4"/>
  <c r="B89" i="4"/>
  <c r="G89" i="4"/>
  <c r="D89" i="4"/>
  <c r="C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D90" i="4"/>
  <c r="B90" i="4"/>
  <c r="G90" i="4"/>
  <c r="C90" i="4"/>
  <c r="E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F91" i="4"/>
  <c r="D91" i="4"/>
  <c r="E91" i="4"/>
  <c r="G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F92" i="4"/>
  <c r="C92" i="4"/>
  <c r="E92" i="4"/>
  <c r="G92" i="4"/>
  <c r="B92" i="4"/>
  <c r="D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B93" i="4"/>
  <c r="F93" i="4"/>
  <c r="D93" i="4"/>
  <c r="G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E94" i="4"/>
  <c r="F94" i="4"/>
  <c r="D94" i="4"/>
  <c r="C94" i="4"/>
  <c r="G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G95" i="4"/>
  <c r="D95" i="4"/>
  <c r="B95" i="4"/>
  <c r="C95" i="4"/>
  <c r="F95" i="4"/>
  <c r="E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E96" i="4"/>
  <c r="B96" i="4"/>
  <c r="D96" i="4"/>
  <c r="F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E97" i="4"/>
  <c r="G97" i="4"/>
  <c r="B97" i="4"/>
  <c r="F97" i="4"/>
  <c r="C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B98" i="4"/>
  <c r="F98" i="4"/>
  <c r="C98" i="4"/>
  <c r="G98" i="4"/>
  <c r="D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D99" i="4"/>
  <c r="C99" i="4"/>
  <c r="B99" i="4"/>
  <c r="F99" i="4"/>
  <c r="E99" i="4"/>
  <c r="G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D100" i="4"/>
  <c r="C100" i="4"/>
  <c r="F100" i="4"/>
  <c r="E100" i="4"/>
  <c r="G100" i="4"/>
  <c r="B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B101" i="4"/>
  <c r="D101" i="4"/>
  <c r="G101" i="4"/>
  <c r="F101" i="4"/>
  <c r="E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G102" i="4"/>
  <c r="C102" i="4"/>
  <c r="B102" i="4"/>
  <c r="D102" i="4"/>
  <c r="E102" i="4"/>
  <c r="F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C103" i="4"/>
  <c r="F103" i="4"/>
  <c r="E103" i="4"/>
  <c r="B103" i="4"/>
  <c r="D103" i="4"/>
  <c r="G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C104" i="4"/>
  <c r="E104" i="4"/>
  <c r="G104" i="4"/>
  <c r="B104" i="4"/>
  <c r="D104" i="4"/>
  <c r="F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D105" i="4"/>
  <c r="G105" i="4"/>
  <c r="F105" i="4"/>
  <c r="E105" i="4"/>
  <c r="B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E106" i="4"/>
  <c r="D106" i="4"/>
  <c r="B106" i="4"/>
  <c r="F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G107" i="4"/>
  <c r="C107" i="4"/>
  <c r="F107" i="4"/>
  <c r="D107" i="4"/>
  <c r="B107" i="4"/>
  <c r="E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G108" i="4"/>
  <c r="B108" i="4"/>
  <c r="D108" i="4"/>
  <c r="F108" i="4"/>
  <c r="C108" i="4"/>
  <c r="E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B109" i="4"/>
  <c r="D109" i="4"/>
  <c r="G109" i="4"/>
  <c r="E109" i="4"/>
  <c r="C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D110" i="4"/>
  <c r="F110" i="4"/>
  <c r="G110" i="4"/>
  <c r="C110" i="4"/>
  <c r="B110" i="4"/>
  <c r="E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B111" i="4"/>
  <c r="D111" i="4"/>
  <c r="C111" i="4"/>
  <c r="G111" i="4"/>
  <c r="E111" i="4"/>
  <c r="F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B112" i="4"/>
  <c r="F112" i="4"/>
  <c r="G112" i="4"/>
  <c r="E112" i="4"/>
  <c r="C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C113" i="4"/>
  <c r="F113" i="4"/>
  <c r="B113" i="4"/>
  <c r="D113" i="4"/>
  <c r="G113" i="4"/>
  <c r="E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D114" i="4"/>
  <c r="E114" i="4"/>
  <c r="F114" i="4"/>
  <c r="B114" i="4"/>
  <c r="C114" i="4"/>
  <c r="G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E115" i="4"/>
  <c r="C115" i="4"/>
  <c r="F115" i="4"/>
  <c r="B115" i="4"/>
  <c r="G115" i="4"/>
  <c r="D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F116" i="4"/>
  <c r="C116" i="4"/>
  <c r="G116" i="4"/>
  <c r="B116" i="4"/>
  <c r="E116" i="4"/>
  <c r="D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G117" i="4"/>
  <c r="C117" i="4"/>
  <c r="F117" i="4"/>
  <c r="B117" i="4"/>
  <c r="E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G118" i="4"/>
  <c r="F118" i="4"/>
  <c r="C118" i="4"/>
  <c r="D118" i="4"/>
  <c r="B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B119" i="4"/>
  <c r="E119" i="4"/>
  <c r="F119" i="4"/>
  <c r="C119" i="4"/>
  <c r="D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D120" i="4"/>
  <c r="B120" i="4"/>
  <c r="F120" i="4"/>
  <c r="C120" i="4"/>
  <c r="G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B121" i="4"/>
  <c r="E121" i="4"/>
  <c r="C121" i="4"/>
  <c r="G121" i="4"/>
  <c r="F121" i="4"/>
  <c r="D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D122" i="4"/>
  <c r="B122" i="4"/>
  <c r="F122" i="4"/>
  <c r="E122" i="4"/>
  <c r="C122" i="4"/>
  <c r="G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G123" i="4"/>
  <c r="E123" i="4"/>
  <c r="C123" i="4"/>
  <c r="D123" i="4"/>
  <c r="B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B124" i="4"/>
  <c r="E124" i="4"/>
  <c r="D124" i="4"/>
  <c r="G124" i="4"/>
  <c r="C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B125" i="4"/>
  <c r="E125" i="4"/>
  <c r="C125" i="4"/>
  <c r="F125" i="4"/>
  <c r="D125" i="4"/>
  <c r="G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B126" i="4"/>
  <c r="E126" i="4"/>
  <c r="C126" i="4"/>
  <c r="G126" i="4"/>
  <c r="F126" i="4"/>
  <c r="D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B127" i="4"/>
  <c r="D127" i="4"/>
  <c r="G127" i="4"/>
  <c r="C127" i="4"/>
  <c r="F127" i="4"/>
  <c r="E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F128" i="4"/>
  <c r="C128" i="4"/>
  <c r="G128" i="4"/>
  <c r="B128" i="4"/>
  <c r="D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D129" i="4"/>
  <c r="F129" i="4"/>
  <c r="C129" i="4"/>
  <c r="G129" i="4"/>
  <c r="B129" i="4"/>
  <c r="E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B130" i="4"/>
  <c r="G130" i="4"/>
  <c r="F130" i="4"/>
  <c r="D130" i="4"/>
  <c r="E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F131" i="4"/>
  <c r="G131" i="4"/>
  <c r="C131" i="4"/>
  <c r="B131" i="4"/>
  <c r="D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E132" i="4"/>
  <c r="D132" i="4"/>
  <c r="B132" i="4"/>
  <c r="G132" i="4"/>
  <c r="F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E133" i="4"/>
  <c r="G133" i="4"/>
  <c r="C133" i="4"/>
  <c r="F133" i="4"/>
  <c r="B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B134" i="4"/>
  <c r="E134" i="4"/>
  <c r="G134" i="4"/>
  <c r="C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C135" i="4"/>
  <c r="F135" i="4"/>
  <c r="D135" i="4"/>
  <c r="G135" i="4"/>
  <c r="E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C136" i="4"/>
  <c r="E136" i="4"/>
  <c r="F136" i="4"/>
  <c r="B136" i="4"/>
  <c r="D136" i="4"/>
  <c r="G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D137" i="4"/>
  <c r="B137" i="4"/>
  <c r="F137" i="4"/>
  <c r="G137" i="4"/>
  <c r="C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F138" i="4"/>
  <c r="G138" i="4"/>
  <c r="E138" i="4"/>
  <c r="D138" i="4"/>
  <c r="B138" i="4"/>
  <c r="C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B139" i="4"/>
  <c r="C139" i="4"/>
  <c r="E139" i="4"/>
  <c r="F139" i="4"/>
  <c r="D139" i="4"/>
  <c r="G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F140" i="4"/>
  <c r="G140" i="4"/>
  <c r="D140" i="4"/>
  <c r="E140" i="4"/>
  <c r="C140" i="4"/>
  <c r="B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D141" i="4"/>
  <c r="F141" i="4"/>
  <c r="C141" i="4"/>
  <c r="B141" i="4"/>
  <c r="E141" i="4"/>
  <c r="G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G142" i="4"/>
  <c r="D142" i="4"/>
  <c r="C142" i="4"/>
  <c r="F142" i="4"/>
  <c r="B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B143" i="4"/>
  <c r="E143" i="4"/>
  <c r="F143" i="4"/>
  <c r="G143" i="4"/>
  <c r="D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D144" i="4"/>
  <c r="F144" i="4"/>
  <c r="G144" i="4"/>
  <c r="E144" i="4"/>
  <c r="C144" i="4"/>
  <c r="B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C145" i="4"/>
  <c r="D145" i="4"/>
  <c r="G145" i="4"/>
  <c r="B145" i="4"/>
  <c r="E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B146" i="4"/>
  <c r="C146" i="4"/>
  <c r="F146" i="4"/>
  <c r="D146" i="4"/>
  <c r="G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D147" i="4"/>
  <c r="E147" i="4"/>
  <c r="G147" i="4"/>
  <c r="B147" i="4"/>
  <c r="F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C148" i="4"/>
  <c r="G148" i="4"/>
  <c r="D148" i="4"/>
  <c r="F148" i="4"/>
  <c r="B148" i="4"/>
  <c r="E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F149" i="4"/>
  <c r="E149" i="4"/>
  <c r="D149" i="4"/>
  <c r="B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F150" i="4"/>
  <c r="G150" i="4"/>
  <c r="D150" i="4"/>
  <c r="E150" i="4"/>
  <c r="C150" i="4"/>
  <c r="B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C151" i="4"/>
  <c r="G151" i="4"/>
  <c r="F151" i="4"/>
  <c r="B151" i="4"/>
  <c r="D151" i="4"/>
  <c r="E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C152" i="4"/>
  <c r="B152" i="4"/>
  <c r="G152" i="4"/>
  <c r="E152" i="4"/>
  <c r="F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D153" i="4"/>
  <c r="B153" i="4"/>
  <c r="E153" i="4"/>
  <c r="F153" i="4"/>
  <c r="G153" i="4"/>
  <c r="C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G154" i="4"/>
  <c r="B154" i="4"/>
  <c r="C154" i="4"/>
  <c r="E154" i="4"/>
  <c r="D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D155" i="4"/>
  <c r="F155" i="4"/>
  <c r="C155" i="4"/>
  <c r="E155" i="4"/>
  <c r="G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C156" i="4"/>
  <c r="E156" i="4"/>
  <c r="D156" i="4"/>
  <c r="F156" i="4"/>
  <c r="B156" i="4"/>
  <c r="G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F157" i="4"/>
  <c r="B157" i="4"/>
  <c r="E157" i="4"/>
  <c r="G157" i="4"/>
  <c r="D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D158" i="4"/>
  <c r="G158" i="4"/>
  <c r="F158" i="4"/>
  <c r="E158" i="4"/>
  <c r="C158" i="4"/>
  <c r="B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B159" i="4"/>
  <c r="E159" i="4"/>
  <c r="F159" i="4"/>
  <c r="G159" i="4"/>
  <c r="D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D160" i="4"/>
  <c r="B160" i="4"/>
  <c r="F160" i="4"/>
  <c r="E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B161" i="4"/>
  <c r="F161" i="4"/>
  <c r="E161" i="4"/>
  <c r="D161" i="4"/>
  <c r="G161" i="4"/>
  <c r="C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F162" i="4"/>
  <c r="C162" i="4"/>
  <c r="E162" i="4"/>
  <c r="B162" i="4"/>
  <c r="D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C163" i="4"/>
  <c r="G163" i="4"/>
  <c r="F163" i="4"/>
  <c r="D163" i="4"/>
  <c r="E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B164" i="4"/>
  <c r="E164" i="4"/>
  <c r="D164" i="4"/>
  <c r="F164" i="4"/>
  <c r="C164" i="4"/>
  <c r="G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F165" i="4"/>
  <c r="D165" i="4"/>
  <c r="E165" i="4"/>
  <c r="C165" i="4"/>
  <c r="B165" i="4"/>
  <c r="G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F166" i="4"/>
  <c r="E166" i="4"/>
  <c r="C166" i="4"/>
  <c r="G166" i="4"/>
  <c r="D166" i="4"/>
  <c r="B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C167" i="4"/>
  <c r="B167" i="4"/>
  <c r="E167" i="4"/>
  <c r="F167" i="4"/>
  <c r="D167" i="4"/>
  <c r="G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F168" i="4"/>
  <c r="E168" i="4"/>
  <c r="C168" i="4"/>
  <c r="D168" i="4"/>
  <c r="G168" i="4"/>
  <c r="B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D169" i="4"/>
  <c r="F169" i="4"/>
  <c r="C169" i="4"/>
  <c r="B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E170" i="4"/>
  <c r="G170" i="4"/>
  <c r="D170" i="4"/>
  <c r="F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D171" i="4"/>
  <c r="E171" i="4"/>
  <c r="G171" i="4"/>
  <c r="B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E172" i="4"/>
  <c r="F172" i="4"/>
  <c r="D172" i="4"/>
  <c r="B172" i="4"/>
  <c r="G172" i="4"/>
  <c r="C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B173" i="4"/>
  <c r="G173" i="4"/>
  <c r="D173" i="4"/>
  <c r="F173" i="4"/>
  <c r="C173" i="4"/>
  <c r="E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G174" i="4"/>
  <c r="E174" i="4"/>
  <c r="F174" i="4"/>
  <c r="B174" i="4"/>
  <c r="D174" i="4"/>
  <c r="C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D175" i="4"/>
  <c r="G175" i="4"/>
  <c r="B175" i="4"/>
  <c r="E175" i="4"/>
  <c r="F175" i="4"/>
  <c r="C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B176" i="4"/>
  <c r="D176" i="4"/>
  <c r="F176" i="4"/>
  <c r="G176" i="4"/>
  <c r="C176" i="4"/>
  <c r="E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F177" i="4"/>
  <c r="G177" i="4"/>
  <c r="E177" i="4"/>
  <c r="B177" i="4"/>
  <c r="C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C178" i="4"/>
  <c r="D178" i="4"/>
  <c r="G178" i="4"/>
  <c r="B178" i="4"/>
  <c r="E178" i="4"/>
  <c r="F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C179" i="4"/>
  <c r="D179" i="4"/>
  <c r="G179" i="4"/>
  <c r="B179" i="4"/>
  <c r="E179" i="4"/>
  <c r="F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F180" i="4"/>
  <c r="C180" i="4"/>
  <c r="G180" i="4"/>
  <c r="D180" i="4"/>
  <c r="E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F181" i="4"/>
  <c r="E181" i="4"/>
  <c r="D181" i="4"/>
  <c r="G181" i="4"/>
  <c r="C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F182" i="4"/>
  <c r="G182" i="4"/>
  <c r="E182" i="4"/>
  <c r="D182" i="4"/>
  <c r="B182" i="4"/>
  <c r="C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G183" i="4"/>
  <c r="B183" i="4"/>
  <c r="F183" i="4"/>
  <c r="D183" i="4"/>
  <c r="E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F184" i="4"/>
  <c r="G184" i="4"/>
  <c r="E184" i="4"/>
  <c r="C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B185" i="4"/>
  <c r="D185" i="4"/>
  <c r="F185" i="4"/>
  <c r="G185" i="4"/>
  <c r="C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C186" i="4"/>
  <c r="D186" i="4"/>
  <c r="E186" i="4"/>
  <c r="F186" i="4"/>
  <c r="B186" i="4"/>
  <c r="G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G187" i="4"/>
  <c r="F187" i="4"/>
  <c r="C187" i="4"/>
  <c r="B187" i="4"/>
  <c r="D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F188" i="4"/>
  <c r="C188" i="4"/>
  <c r="B188" i="4"/>
  <c r="G188" i="4"/>
  <c r="D188" i="4"/>
  <c r="E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C189" i="4"/>
  <c r="G189" i="4"/>
  <c r="F189" i="4"/>
  <c r="B189" i="4"/>
  <c r="E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F190" i="4"/>
  <c r="B190" i="4"/>
  <c r="G190" i="4"/>
  <c r="D190" i="4"/>
  <c r="E190" i="4"/>
  <c r="C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C191" i="4"/>
  <c r="G191" i="4"/>
  <c r="D191" i="4"/>
  <c r="E191" i="4"/>
  <c r="F191" i="4"/>
  <c r="B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F192" i="4"/>
  <c r="C192" i="4"/>
  <c r="B192" i="4"/>
  <c r="E192" i="4"/>
  <c r="D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B193" i="4"/>
  <c r="E193" i="4"/>
  <c r="G193" i="4"/>
  <c r="D193" i="4"/>
  <c r="F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E194" i="4"/>
  <c r="G194" i="4"/>
  <c r="F194" i="4"/>
  <c r="D194" i="4"/>
  <c r="B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F195" i="4"/>
  <c r="B195" i="4"/>
  <c r="D195" i="4"/>
  <c r="G195" i="4"/>
  <c r="C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B196" i="4"/>
  <c r="D196" i="4"/>
  <c r="G196" i="4"/>
  <c r="E196" i="4"/>
  <c r="C196" i="4"/>
  <c r="F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D197" i="4"/>
  <c r="C197" i="4"/>
  <c r="G197" i="4"/>
  <c r="B197" i="4"/>
  <c r="F197" i="4"/>
  <c r="E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G198" i="4"/>
  <c r="F198" i="4"/>
  <c r="C198" i="4"/>
  <c r="B198" i="4"/>
  <c r="D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F199" i="4"/>
  <c r="C199" i="4"/>
  <c r="G199" i="4"/>
  <c r="B199" i="4"/>
  <c r="E199" i="4"/>
  <c r="D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G200" i="4"/>
  <c r="F200" i="4"/>
  <c r="C200" i="4"/>
  <c r="B200" i="4"/>
  <c r="E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D201" i="4"/>
  <c r="C201" i="4"/>
  <c r="B201" i="4"/>
  <c r="F201" i="4"/>
  <c r="E201" i="4"/>
  <c r="G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C202" i="4"/>
  <c r="E202" i="4"/>
  <c r="D202" i="4"/>
  <c r="F202" i="4"/>
  <c r="G202" i="4"/>
  <c r="B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F203" i="4"/>
  <c r="C203" i="4"/>
  <c r="B203" i="4"/>
  <c r="D203" i="4"/>
  <c r="G203" i="4"/>
  <c r="E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B204" i="4"/>
  <c r="F204" i="4"/>
  <c r="G204" i="4"/>
  <c r="E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D205" i="4"/>
  <c r="F205" i="4"/>
  <c r="G205" i="4"/>
  <c r="B205" i="4"/>
  <c r="E205" i="4"/>
  <c r="C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F206" i="4"/>
  <c r="D206" i="4"/>
  <c r="C206" i="4"/>
  <c r="B206" i="4"/>
  <c r="G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C207" i="4"/>
  <c r="F207" i="4"/>
  <c r="E207" i="4"/>
  <c r="G207" i="4"/>
  <c r="B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E208" i="4"/>
  <c r="G208" i="4"/>
  <c r="B208" i="4"/>
  <c r="C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G209" i="4"/>
  <c r="E209" i="4"/>
  <c r="B209" i="4"/>
  <c r="C209" i="4"/>
  <c r="F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F210" i="4"/>
  <c r="C210" i="4"/>
  <c r="D210" i="4"/>
  <c r="G210" i="4"/>
  <c r="B210" i="4"/>
  <c r="E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F211" i="4"/>
  <c r="D211" i="4"/>
  <c r="B211" i="4"/>
  <c r="E211" i="4"/>
  <c r="G211" i="4"/>
  <c r="C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B212" i="4"/>
  <c r="E212" i="4"/>
  <c r="D212" i="4"/>
  <c r="C212" i="4"/>
  <c r="G212" i="4"/>
  <c r="F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F213" i="4"/>
  <c r="C213" i="4"/>
  <c r="B213" i="4"/>
  <c r="E213" i="4"/>
  <c r="G213" i="4"/>
  <c r="D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E214" i="4"/>
  <c r="F214" i="4"/>
  <c r="C214" i="4"/>
  <c r="G214" i="4"/>
  <c r="D214" i="4"/>
  <c r="B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F215" i="4"/>
  <c r="B215" i="4"/>
  <c r="D215" i="4"/>
  <c r="C215" i="4"/>
  <c r="E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G216" i="4"/>
  <c r="F216" i="4"/>
  <c r="C216" i="4"/>
  <c r="E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B217" i="4"/>
  <c r="E217" i="4"/>
  <c r="D217" i="4"/>
  <c r="G217" i="4"/>
  <c r="C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E218" i="4"/>
  <c r="D218" i="4"/>
  <c r="G218" i="4"/>
  <c r="B218" i="4"/>
  <c r="F218" i="4"/>
  <c r="C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E219" i="4"/>
  <c r="F219" i="4"/>
  <c r="G219" i="4"/>
  <c r="B219" i="4"/>
  <c r="C219" i="4"/>
  <c r="D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F220" i="4"/>
  <c r="D220" i="4"/>
  <c r="E220" i="4"/>
  <c r="G220" i="4"/>
  <c r="C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B221" i="4"/>
  <c r="D221" i="4"/>
  <c r="F221" i="4"/>
  <c r="G221" i="4"/>
  <c r="C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C222" i="4"/>
  <c r="D222" i="4"/>
  <c r="G222" i="4"/>
  <c r="B222" i="4"/>
  <c r="F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D223" i="4"/>
  <c r="F223" i="4"/>
  <c r="G223" i="4"/>
  <c r="B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D224" i="4"/>
  <c r="B224" i="4"/>
  <c r="F224" i="4"/>
  <c r="C224" i="4"/>
  <c r="G224" i="4"/>
  <c r="E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E225" i="4"/>
  <c r="G225" i="4"/>
  <c r="C225" i="4"/>
  <c r="D225" i="4"/>
  <c r="F225" i="4"/>
  <c r="B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C226" i="4"/>
  <c r="D226" i="4"/>
  <c r="F226" i="4"/>
  <c r="B226" i="4"/>
  <c r="G226" i="4"/>
  <c r="E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C227" i="4"/>
  <c r="F227" i="4"/>
  <c r="B227" i="4"/>
  <c r="G227" i="4"/>
  <c r="E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G228" i="4"/>
  <c r="E228" i="4"/>
  <c r="C228" i="4"/>
  <c r="F228" i="4"/>
  <c r="D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C229" i="4"/>
  <c r="E229" i="4"/>
  <c r="B229" i="4"/>
  <c r="G229" i="4"/>
  <c r="F229" i="4"/>
  <c r="D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G230" i="4"/>
  <c r="B230" i="4"/>
  <c r="F230" i="4"/>
  <c r="D230" i="4"/>
  <c r="E230" i="4"/>
  <c r="C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C231" i="4"/>
  <c r="G231" i="4"/>
  <c r="D231" i="4"/>
  <c r="E231" i="4"/>
  <c r="B231" i="4"/>
  <c r="F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D232" i="4"/>
  <c r="E232" i="4"/>
  <c r="G232" i="4"/>
  <c r="F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D233" i="4"/>
  <c r="E233" i="4"/>
  <c r="B233" i="4"/>
  <c r="F233" i="4"/>
  <c r="G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F234" i="4"/>
  <c r="B234" i="4"/>
  <c r="G234" i="4"/>
  <c r="E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D235" i="4"/>
  <c r="B235" i="4"/>
  <c r="C235" i="4"/>
  <c r="G235" i="4"/>
  <c r="E235" i="4"/>
  <c r="F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E236" i="4"/>
  <c r="B236" i="4"/>
  <c r="C236" i="4"/>
  <c r="F236" i="4"/>
  <c r="G236" i="4"/>
  <c r="D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F237" i="4"/>
  <c r="B237" i="4"/>
  <c r="G237" i="4"/>
  <c r="D237" i="4"/>
  <c r="C237" i="4"/>
  <c r="E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G238" i="4"/>
  <c r="F238" i="4"/>
  <c r="D238" i="4"/>
  <c r="B238" i="4"/>
  <c r="C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B239" i="4"/>
  <c r="F239" i="4"/>
  <c r="D239" i="4"/>
  <c r="C239" i="4"/>
  <c r="E239" i="4"/>
  <c r="G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C240" i="4"/>
  <c r="B240" i="4"/>
  <c r="F240" i="4"/>
  <c r="D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F241" i="4"/>
  <c r="E241" i="4"/>
  <c r="G241" i="4"/>
  <c r="B241" i="4"/>
  <c r="C241" i="4"/>
  <c r="D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D242" i="4"/>
  <c r="E242" i="4"/>
  <c r="B242" i="4"/>
  <c r="C242" i="4"/>
  <c r="G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C243" i="4"/>
  <c r="B243" i="4"/>
  <c r="D243" i="4"/>
  <c r="G243" i="4"/>
  <c r="E243" i="4"/>
  <c r="F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G244" i="4"/>
  <c r="F244" i="4"/>
  <c r="B244" i="4"/>
  <c r="D244" i="4"/>
  <c r="C244" i="4"/>
  <c r="E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E245" i="4"/>
  <c r="G245" i="4"/>
  <c r="B245" i="4"/>
  <c r="F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D246" i="4"/>
  <c r="E246" i="4"/>
  <c r="G246" i="4"/>
  <c r="F246" i="4"/>
  <c r="C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B247" i="4"/>
  <c r="F247" i="4"/>
  <c r="G247" i="4"/>
  <c r="D247" i="4"/>
  <c r="C247" i="4"/>
  <c r="E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B248" i="4"/>
  <c r="F248" i="4"/>
  <c r="G248" i="4"/>
  <c r="C248" i="4"/>
  <c r="E248" i="4"/>
  <c r="D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D249" i="4"/>
  <c r="B249" i="4"/>
  <c r="G249" i="4"/>
  <c r="E249" i="4"/>
  <c r="F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E250" i="4"/>
  <c r="C250" i="4"/>
  <c r="B250" i="4"/>
  <c r="G250" i="4"/>
  <c r="D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F251" i="4"/>
  <c r="E251" i="4"/>
  <c r="B251" i="4"/>
  <c r="C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G252" i="4"/>
  <c r="B252" i="4"/>
  <c r="E252" i="4"/>
  <c r="D252" i="4"/>
  <c r="C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G253" i="4"/>
  <c r="D253" i="4"/>
  <c r="F253" i="4"/>
  <c r="E253" i="4"/>
  <c r="B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B254" i="4"/>
  <c r="C254" i="4"/>
  <c r="D254" i="4"/>
  <c r="E254" i="4"/>
  <c r="G254" i="4"/>
  <c r="F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C255" i="4"/>
  <c r="F255" i="4"/>
  <c r="B255" i="4"/>
  <c r="G255" i="4"/>
  <c r="D255" i="4"/>
  <c r="E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G256" i="4"/>
  <c r="C256" i="4"/>
  <c r="E256" i="4"/>
  <c r="D256" i="4"/>
  <c r="B256" i="4"/>
  <c r="F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F257" i="4"/>
  <c r="C257" i="4"/>
  <c r="G257" i="4"/>
  <c r="B257" i="4"/>
  <c r="E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E258" i="4"/>
  <c r="F258" i="4"/>
  <c r="B258" i="4"/>
  <c r="D258" i="4"/>
  <c r="C258" i="4"/>
  <c r="G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D259" i="4"/>
  <c r="F259" i="4"/>
  <c r="G259" i="4"/>
  <c r="C259" i="4"/>
  <c r="E259" i="4"/>
  <c r="B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E260" i="4"/>
  <c r="C260" i="4"/>
  <c r="B260" i="4"/>
  <c r="F260" i="4"/>
  <c r="G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F261" i="4"/>
  <c r="B261" i="4"/>
  <c r="D261" i="4"/>
  <c r="G261" i="4"/>
  <c r="C261" i="4"/>
  <c r="E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E262" i="4"/>
  <c r="F262" i="4"/>
  <c r="B262" i="4"/>
  <c r="G262" i="4"/>
  <c r="D262" i="4"/>
  <c r="C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F263" i="4"/>
  <c r="E263" i="4"/>
  <c r="C263" i="4"/>
  <c r="G263" i="4"/>
  <c r="B263" i="4"/>
  <c r="D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G264" i="4"/>
  <c r="B264" i="4"/>
  <c r="D264" i="4"/>
  <c r="E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D265" i="4"/>
  <c r="B265" i="4"/>
  <c r="E265" i="4"/>
  <c r="C265" i="4"/>
  <c r="F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F266" i="4"/>
  <c r="G266" i="4"/>
  <c r="C266" i="4"/>
  <c r="E266" i="4"/>
  <c r="B266" i="4"/>
  <c r="D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C267" i="4"/>
  <c r="E267" i="4"/>
  <c r="B267" i="4"/>
  <c r="F267" i="4"/>
  <c r="D267" i="4"/>
  <c r="G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D268" i="4"/>
  <c r="C268" i="4"/>
  <c r="F268" i="4"/>
  <c r="G268" i="4"/>
  <c r="E268" i="4"/>
  <c r="B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B269" i="4"/>
  <c r="E269" i="4"/>
  <c r="C269" i="4"/>
  <c r="F269" i="4"/>
  <c r="G269" i="4"/>
  <c r="D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D270" i="4"/>
  <c r="G270" i="4"/>
  <c r="B270" i="4"/>
  <c r="F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G271" i="4"/>
  <c r="E271" i="4"/>
  <c r="B271" i="4"/>
  <c r="F271" i="4"/>
  <c r="C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B272" i="4"/>
  <c r="E272" i="4"/>
  <c r="D272" i="4"/>
  <c r="C272" i="4"/>
  <c r="F272" i="4"/>
  <c r="G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D273" i="4"/>
  <c r="E273" i="4"/>
  <c r="F273" i="4"/>
  <c r="B273" i="4"/>
  <c r="G273" i="4"/>
  <c r="C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E274" i="4"/>
  <c r="C274" i="4"/>
  <c r="B274" i="4"/>
  <c r="G274" i="4"/>
  <c r="F274" i="4"/>
  <c r="D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D275" i="4"/>
  <c r="C275" i="4"/>
  <c r="G275" i="4"/>
  <c r="B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D276" i="4"/>
  <c r="F276" i="4"/>
  <c r="B276" i="4"/>
  <c r="G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C277" i="4"/>
  <c r="B277" i="4"/>
  <c r="E277" i="4"/>
  <c r="D277" i="4"/>
  <c r="G277" i="4"/>
  <c r="F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D278" i="4"/>
  <c r="F278" i="4"/>
  <c r="C278" i="4"/>
  <c r="B278" i="4"/>
  <c r="G278" i="4"/>
  <c r="E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D279" i="4"/>
  <c r="G279" i="4"/>
  <c r="F279" i="4"/>
  <c r="B279" i="4"/>
  <c r="C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C280" i="4"/>
  <c r="E280" i="4"/>
  <c r="D280" i="4"/>
  <c r="G280" i="4"/>
  <c r="F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B281" i="4"/>
  <c r="F281" i="4"/>
  <c r="G281" i="4"/>
  <c r="E281" i="4"/>
  <c r="D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G282" i="4"/>
  <c r="F282" i="4"/>
  <c r="C282" i="4"/>
  <c r="D282" i="4"/>
  <c r="E282" i="4"/>
  <c r="B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G283" i="4"/>
  <c r="E283" i="4"/>
  <c r="D283" i="4"/>
  <c r="C283" i="4"/>
  <c r="F283" i="4"/>
  <c r="B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B284" i="4"/>
  <c r="E284" i="4"/>
  <c r="F284" i="4"/>
  <c r="G284" i="4"/>
  <c r="C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C285" i="4"/>
  <c r="F285" i="4"/>
  <c r="B285" i="4"/>
  <c r="G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C286" i="4"/>
  <c r="G286" i="4"/>
  <c r="E286" i="4"/>
  <c r="F286" i="4"/>
  <c r="D286" i="4"/>
  <c r="B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B287" i="4"/>
  <c r="E287" i="4"/>
  <c r="D287" i="4"/>
  <c r="C287" i="4"/>
  <c r="G287" i="4"/>
  <c r="F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B288" i="4"/>
  <c r="C288" i="4"/>
  <c r="F288" i="4"/>
  <c r="D288" i="4"/>
  <c r="G288" i="4"/>
  <c r="E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B289" i="4"/>
  <c r="F289" i="4"/>
  <c r="G289" i="4"/>
  <c r="D289" i="4"/>
  <c r="E289" i="4"/>
  <c r="C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G290" i="4"/>
  <c r="C290" i="4"/>
  <c r="D290" i="4"/>
  <c r="F290" i="4"/>
  <c r="B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D291" i="4"/>
  <c r="B291" i="4"/>
  <c r="C291" i="4"/>
  <c r="F291" i="4"/>
  <c r="E291" i="4"/>
  <c r="G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F292" i="4"/>
  <c r="B292" i="4"/>
  <c r="D292" i="4"/>
  <c r="G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E293" i="4"/>
  <c r="D293" i="4"/>
  <c r="F293" i="4"/>
  <c r="B293" i="4"/>
  <c r="C293" i="4"/>
  <c r="G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E294" i="4"/>
  <c r="F294" i="4"/>
  <c r="C294" i="4"/>
  <c r="B294" i="4"/>
  <c r="D294" i="4"/>
  <c r="G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D295" i="4"/>
  <c r="B295" i="4"/>
  <c r="E295" i="4"/>
  <c r="F295" i="4"/>
  <c r="C295" i="4"/>
  <c r="G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B296" i="4"/>
  <c r="D296" i="4"/>
  <c r="C296" i="4"/>
  <c r="E296" i="4"/>
  <c r="F296" i="4"/>
  <c r="G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D297" i="4"/>
  <c r="C297" i="4"/>
  <c r="E297" i="4"/>
  <c r="G297" i="4"/>
  <c r="F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C298" i="4"/>
  <c r="B298" i="4"/>
  <c r="E298" i="4"/>
  <c r="F298" i="4"/>
  <c r="G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E299" i="4"/>
  <c r="C299" i="4"/>
  <c r="D299" i="4"/>
  <c r="G299" i="4"/>
  <c r="B299" i="4"/>
  <c r="F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G300" i="4"/>
  <c r="E300" i="4"/>
  <c r="D300" i="4"/>
  <c r="B300" i="4"/>
  <c r="F300" i="4"/>
  <c r="C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D301" i="4"/>
  <c r="E301" i="4"/>
  <c r="C301" i="4"/>
  <c r="B301" i="4"/>
  <c r="F301" i="4"/>
  <c r="G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F302" i="4"/>
  <c r="G302" i="4"/>
  <c r="D302" i="4"/>
  <c r="C302" i="4"/>
  <c r="E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C303" i="4"/>
  <c r="B303" i="4"/>
  <c r="D303" i="4"/>
  <c r="G303" i="4"/>
  <c r="F303" i="4"/>
  <c r="E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E304" i="4"/>
  <c r="F304" i="4"/>
  <c r="C304" i="4"/>
  <c r="D304" i="4"/>
  <c r="B304" i="4"/>
  <c r="G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D305" i="4"/>
  <c r="E305" i="4"/>
  <c r="G305" i="4"/>
  <c r="C305" i="4"/>
  <c r="B305" i="4"/>
  <c r="F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C306" i="4"/>
  <c r="B306" i="4"/>
  <c r="F306" i="4"/>
  <c r="D306" i="4"/>
  <c r="E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E307" i="4"/>
  <c r="C307" i="4"/>
  <c r="D307" i="4"/>
  <c r="F307" i="4"/>
  <c r="G307" i="4"/>
  <c r="B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C308" i="4"/>
  <c r="G308" i="4"/>
  <c r="E308" i="4"/>
  <c r="F308" i="4"/>
  <c r="D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C309" i="4"/>
  <c r="D309" i="4"/>
  <c r="E309" i="4"/>
  <c r="G309" i="4"/>
  <c r="B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B310" i="4"/>
  <c r="D310" i="4"/>
  <c r="C310" i="4"/>
  <c r="F310" i="4"/>
  <c r="G310" i="4"/>
  <c r="E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D311" i="4"/>
  <c r="E311" i="4"/>
  <c r="F311" i="4"/>
  <c r="G311" i="4"/>
  <c r="C311" i="4"/>
  <c r="B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G312" i="4"/>
  <c r="D312" i="4"/>
  <c r="E312" i="4"/>
  <c r="C312" i="4"/>
  <c r="F312" i="4"/>
  <c r="B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B313" i="4"/>
  <c r="C313" i="4"/>
  <c r="G313" i="4"/>
  <c r="D313" i="4"/>
  <c r="F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F314" i="4"/>
  <c r="B314" i="4"/>
  <c r="D314" i="4"/>
  <c r="E314" i="4"/>
  <c r="C314" i="4"/>
  <c r="G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C315" i="4"/>
  <c r="F315" i="4"/>
  <c r="G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F316" i="4"/>
  <c r="C316" i="4"/>
  <c r="E316" i="4"/>
  <c r="D316" i="4"/>
  <c r="G316" i="4"/>
  <c r="B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F317" i="4"/>
  <c r="G317" i="4"/>
  <c r="E317" i="4"/>
  <c r="C317" i="4"/>
  <c r="D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G318" i="4"/>
  <c r="B318" i="4"/>
  <c r="F318" i="4"/>
  <c r="C318" i="4"/>
  <c r="E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B319" i="4"/>
  <c r="C319" i="4"/>
  <c r="F319" i="4"/>
  <c r="E319" i="4"/>
  <c r="D319" i="4"/>
  <c r="G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G320" i="4"/>
  <c r="E320" i="4"/>
  <c r="C320" i="4"/>
  <c r="B320" i="4"/>
  <c r="D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F321" i="4"/>
  <c r="B321" i="4"/>
  <c r="D321" i="4"/>
  <c r="C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D322" i="4"/>
  <c r="B322" i="4"/>
  <c r="G322" i="4"/>
  <c r="E322" i="4"/>
  <c r="F322" i="4"/>
  <c r="C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G323" i="4"/>
  <c r="F323" i="4"/>
  <c r="B323" i="4"/>
  <c r="C323" i="4"/>
  <c r="D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E324" i="4"/>
  <c r="G324" i="4"/>
  <c r="B324" i="4"/>
  <c r="F324" i="4"/>
  <c r="C324" i="4"/>
  <c r="D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D325" i="4"/>
  <c r="B325" i="4"/>
  <c r="G325" i="4"/>
  <c r="F325" i="4"/>
  <c r="C325" i="4"/>
  <c r="E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C326" i="4"/>
  <c r="F326" i="4"/>
  <c r="B326" i="4"/>
  <c r="E326" i="4"/>
  <c r="D326" i="4"/>
  <c r="G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G327" i="4"/>
  <c r="B327" i="4"/>
  <c r="D327" i="4"/>
  <c r="F327" i="4"/>
  <c r="C327" i="4"/>
  <c r="E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B328" i="4"/>
  <c r="C328" i="4"/>
  <c r="F328" i="4"/>
  <c r="D328" i="4"/>
  <c r="G328" i="4"/>
  <c r="E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E329" i="4"/>
  <c r="G329" i="4"/>
  <c r="D329" i="4"/>
  <c r="F329" i="4"/>
  <c r="C329" i="4"/>
  <c r="B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G330" i="4"/>
  <c r="C330" i="4"/>
  <c r="E330" i="4"/>
  <c r="B330" i="4"/>
  <c r="F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B331" i="4"/>
  <c r="E331" i="4"/>
  <c r="D331" i="4"/>
  <c r="F331" i="4"/>
  <c r="C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E332" i="4"/>
  <c r="D332" i="4"/>
  <c r="C332" i="4"/>
  <c r="G332" i="4"/>
  <c r="B332" i="4"/>
  <c r="F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E333" i="4"/>
  <c r="G333" i="4"/>
  <c r="D333" i="4"/>
  <c r="B333" i="4"/>
  <c r="F333" i="4"/>
  <c r="C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F334" i="4"/>
  <c r="D334" i="4"/>
  <c r="G334" i="4"/>
  <c r="C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C335" i="4"/>
  <c r="D335" i="4"/>
  <c r="G335" i="4"/>
  <c r="F335" i="4"/>
  <c r="E335" i="4"/>
  <c r="B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B336" i="4"/>
  <c r="D336" i="4"/>
  <c r="F336" i="4"/>
  <c r="G336" i="4"/>
  <c r="E336" i="4"/>
  <c r="C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F337" i="4"/>
  <c r="B337" i="4"/>
  <c r="E337" i="4"/>
  <c r="C337" i="4"/>
  <c r="G337" i="4"/>
  <c r="D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E338" i="4"/>
  <c r="B338" i="4"/>
  <c r="F338" i="4"/>
  <c r="D338" i="4"/>
  <c r="C338" i="4"/>
  <c r="G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C339" i="4"/>
  <c r="B339" i="4"/>
  <c r="F339" i="4"/>
  <c r="G339" i="4"/>
  <c r="D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B340" i="4"/>
  <c r="G340" i="4"/>
  <c r="E340" i="4"/>
  <c r="D340" i="4"/>
  <c r="C340" i="4"/>
  <c r="F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C341" i="4"/>
  <c r="E341" i="4"/>
  <c r="B341" i="4"/>
  <c r="F341" i="4"/>
  <c r="G341" i="4"/>
  <c r="D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B342" i="4"/>
  <c r="F342" i="4"/>
  <c r="C342" i="4"/>
  <c r="D342" i="4"/>
  <c r="G342" i="4"/>
  <c r="E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B343" i="4"/>
  <c r="E343" i="4"/>
  <c r="G343" i="4"/>
  <c r="C343" i="4"/>
  <c r="F343" i="4"/>
  <c r="D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C344" i="4"/>
  <c r="B344" i="4"/>
  <c r="F344" i="4"/>
  <c r="G344" i="4"/>
  <c r="D344" i="4"/>
  <c r="E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E345" i="4"/>
  <c r="B345" i="4"/>
  <c r="G345" i="4"/>
  <c r="C345" i="4"/>
  <c r="D345" i="4"/>
  <c r="F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D346" i="4"/>
  <c r="F346" i="4"/>
  <c r="C346" i="4"/>
  <c r="G346" i="4"/>
  <c r="E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F347" i="4"/>
  <c r="E347" i="4"/>
  <c r="D347" i="4"/>
  <c r="G347" i="4"/>
  <c r="C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G348" i="4"/>
  <c r="C348" i="4"/>
  <c r="F348" i="4"/>
  <c r="E348" i="4"/>
  <c r="B348" i="4"/>
  <c r="D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G349" i="4"/>
  <c r="D349" i="4"/>
  <c r="C349" i="4"/>
  <c r="F349" i="4"/>
  <c r="E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B350" i="4"/>
  <c r="G350" i="4"/>
  <c r="F350" i="4"/>
  <c r="D350" i="4"/>
  <c r="E350" i="4"/>
  <c r="C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B351" i="4"/>
  <c r="C351" i="4"/>
  <c r="E351" i="4"/>
  <c r="D351" i="4"/>
  <c r="F351" i="4"/>
  <c r="G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E352" i="4"/>
  <c r="B352" i="4"/>
  <c r="G352" i="4"/>
  <c r="D352" i="4"/>
  <c r="F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F353" i="4"/>
  <c r="B353" i="4"/>
  <c r="E353" i="4"/>
  <c r="G353" i="4"/>
  <c r="D353" i="4"/>
  <c r="C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C354" i="4"/>
  <c r="F354" i="4"/>
  <c r="B354" i="4"/>
  <c r="G354" i="4"/>
  <c r="E354" i="4"/>
  <c r="D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C355" i="4"/>
  <c r="B355" i="4"/>
  <c r="G355" i="4"/>
  <c r="F355" i="4"/>
  <c r="E355" i="4"/>
  <c r="D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E356" i="4"/>
  <c r="G356" i="4"/>
  <c r="C356" i="4"/>
  <c r="F356" i="4"/>
  <c r="B356" i="4"/>
  <c r="D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G357" i="4"/>
  <c r="C357" i="4"/>
  <c r="E357" i="4"/>
  <c r="D357" i="4"/>
  <c r="B357" i="4"/>
  <c r="F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F358" i="4"/>
  <c r="B358" i="4"/>
  <c r="C358" i="4"/>
  <c r="G358" i="4"/>
  <c r="D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F359" i="4"/>
  <c r="E359" i="4"/>
  <c r="C359" i="4"/>
  <c r="G359" i="4"/>
  <c r="B359" i="4"/>
  <c r="D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G360" i="4"/>
  <c r="E360" i="4"/>
  <c r="B360" i="4"/>
  <c r="C360" i="4"/>
  <c r="D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D361" i="4"/>
  <c r="F361" i="4"/>
  <c r="B361" i="4"/>
  <c r="G361" i="4"/>
  <c r="C361" i="4"/>
  <c r="E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G362" i="4"/>
  <c r="B362" i="4"/>
  <c r="C362" i="4"/>
  <c r="F362" i="4"/>
  <c r="D362" i="4"/>
  <c r="E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F363" i="4"/>
  <c r="D363" i="4"/>
  <c r="C363" i="4"/>
  <c r="G363" i="4"/>
  <c r="B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E364" i="4"/>
  <c r="F364" i="4"/>
  <c r="D364" i="4"/>
  <c r="C364" i="4"/>
  <c r="B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B365" i="4"/>
  <c r="G365" i="4"/>
  <c r="D365" i="4"/>
  <c r="E365" i="4"/>
  <c r="C365" i="4"/>
  <c r="F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C366" i="4"/>
  <c r="F366" i="4"/>
  <c r="D366" i="4"/>
  <c r="G366" i="4"/>
  <c r="B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G367" i="4"/>
  <c r="E367" i="4"/>
  <c r="F367" i="4"/>
  <c r="C367" i="4"/>
  <c r="B367" i="4"/>
  <c r="D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E368" i="4"/>
  <c r="G368" i="4"/>
  <c r="F368" i="4"/>
  <c r="B368" i="4"/>
  <c r="D368" i="4"/>
  <c r="C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F369" i="4"/>
  <c r="B369" i="4"/>
  <c r="C369" i="4"/>
  <c r="D369" i="4"/>
  <c r="E369" i="4"/>
  <c r="G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C370" i="4"/>
  <c r="B370" i="4"/>
  <c r="F370" i="4"/>
  <c r="G370" i="4"/>
  <c r="D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F371" i="4"/>
  <c r="E371" i="4"/>
  <c r="D371" i="4"/>
  <c r="B371" i="4"/>
  <c r="G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G372" i="4"/>
  <c r="D372" i="4"/>
  <c r="C372" i="4"/>
  <c r="B372" i="4"/>
  <c r="E372" i="4"/>
  <c r="F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D373" i="4"/>
  <c r="G373" i="4"/>
  <c r="B373" i="4"/>
  <c r="C373" i="4"/>
  <c r="E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D374" i="4"/>
  <c r="G374" i="4"/>
  <c r="F374" i="4"/>
  <c r="E374" i="4"/>
  <c r="C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B375" i="4"/>
  <c r="G375" i="4"/>
  <c r="C375" i="4"/>
  <c r="F375" i="4"/>
  <c r="D375" i="4"/>
  <c r="E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F376" i="4"/>
  <c r="D376" i="4"/>
  <c r="E376" i="4"/>
  <c r="G376" i="4"/>
  <c r="B376" i="4"/>
  <c r="C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F377" i="4"/>
  <c r="C377" i="4"/>
  <c r="G377" i="4"/>
  <c r="D377" i="4"/>
  <c r="B377" i="4"/>
  <c r="E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E378" i="4"/>
  <c r="F378" i="4"/>
  <c r="D378" i="4"/>
  <c r="B378" i="4"/>
  <c r="C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F379" i="4"/>
  <c r="E379" i="4"/>
  <c r="D379" i="4"/>
  <c r="G379" i="4"/>
  <c r="C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C380" i="4"/>
  <c r="G380" i="4"/>
  <c r="B380" i="4"/>
  <c r="F380" i="4"/>
  <c r="E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G381" i="4"/>
  <c r="B381" i="4"/>
  <c r="D381" i="4"/>
  <c r="F381" i="4"/>
  <c r="C381" i="4"/>
  <c r="E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F382" i="4"/>
  <c r="G382" i="4"/>
  <c r="D382" i="4"/>
  <c r="B382" i="4"/>
  <c r="E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C383" i="4"/>
  <c r="E383" i="4"/>
  <c r="B383" i="4"/>
  <c r="D383" i="4"/>
  <c r="G383" i="4"/>
  <c r="F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E384" i="4"/>
  <c r="D384" i="4"/>
  <c r="C384" i="4"/>
  <c r="G384" i="4"/>
  <c r="B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B385" i="4"/>
  <c r="F385" i="4"/>
  <c r="C385" i="4"/>
  <c r="G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C386" i="4"/>
  <c r="E386" i="4"/>
  <c r="D386" i="4"/>
  <c r="G386" i="4"/>
  <c r="B386" i="4"/>
  <c r="F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C387" i="4"/>
  <c r="B387" i="4"/>
  <c r="D387" i="4"/>
  <c r="E387" i="4"/>
  <c r="G387" i="4"/>
  <c r="F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F388" i="4"/>
  <c r="B388" i="4"/>
  <c r="E388" i="4"/>
  <c r="G388" i="4"/>
  <c r="C388" i="4"/>
  <c r="D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D389" i="4"/>
  <c r="F389" i="4"/>
  <c r="B389" i="4"/>
  <c r="C389" i="4"/>
  <c r="G389" i="4"/>
  <c r="E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E390" i="4"/>
  <c r="D390" i="4"/>
  <c r="F390" i="4"/>
  <c r="B390" i="4"/>
  <c r="G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C391" i="4"/>
  <c r="B391" i="4"/>
  <c r="D391" i="4"/>
  <c r="E391" i="4"/>
  <c r="G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E392" i="4"/>
  <c r="D392" i="4"/>
  <c r="G392" i="4"/>
  <c r="C392" i="4"/>
  <c r="B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F393" i="4"/>
  <c r="B393" i="4"/>
  <c r="D393" i="4"/>
  <c r="G393" i="4"/>
  <c r="E393" i="4"/>
  <c r="C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E394" i="4"/>
  <c r="G394" i="4"/>
  <c r="B394" i="4"/>
  <c r="D394" i="4"/>
  <c r="C394" i="4"/>
  <c r="F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F395" i="4"/>
  <c r="B395" i="4"/>
  <c r="C395" i="4"/>
  <c r="D395" i="4"/>
  <c r="E395" i="4"/>
  <c r="G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D396" i="4"/>
  <c r="B396" i="4"/>
  <c r="C396" i="4"/>
  <c r="G396" i="4"/>
  <c r="F396" i="4"/>
  <c r="E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E397" i="4"/>
  <c r="B397" i="4"/>
  <c r="F397" i="4"/>
  <c r="G397" i="4"/>
  <c r="D397" i="4"/>
  <c r="C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B398" i="4"/>
  <c r="D398" i="4"/>
  <c r="E398" i="4"/>
  <c r="C398" i="4"/>
  <c r="G398" i="4"/>
  <c r="F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F399" i="4"/>
  <c r="E399" i="4"/>
  <c r="B399" i="4"/>
  <c r="D399" i="4"/>
  <c r="C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G400" i="4"/>
  <c r="E400" i="4"/>
  <c r="D400" i="4"/>
  <c r="B400" i="4"/>
  <c r="C400" i="4"/>
  <c r="F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E401" i="4"/>
  <c r="B401" i="4"/>
  <c r="C401" i="4"/>
  <c r="D401" i="4"/>
  <c r="G401" i="4"/>
  <c r="F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F402" i="4"/>
  <c r="D402" i="4"/>
  <c r="E402" i="4"/>
  <c r="B402" i="4"/>
  <c r="G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G403" i="4"/>
  <c r="D403" i="4"/>
  <c r="F403" i="4"/>
  <c r="C403" i="4"/>
  <c r="B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G404" i="4"/>
  <c r="F404" i="4"/>
  <c r="D404" i="4"/>
  <c r="C404" i="4"/>
  <c r="E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D405" i="4"/>
  <c r="E405" i="4"/>
  <c r="B405" i="4"/>
  <c r="F405" i="4"/>
  <c r="C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D406" i="4"/>
  <c r="G406" i="4"/>
  <c r="F406" i="4"/>
  <c r="C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B407" i="4"/>
  <c r="C407" i="4"/>
  <c r="E407" i="4"/>
  <c r="F407" i="4"/>
  <c r="D407" i="4"/>
  <c r="G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E408" i="4"/>
  <c r="D408" i="4"/>
  <c r="G408" i="4"/>
  <c r="B408" i="4"/>
  <c r="C408" i="4"/>
  <c r="F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E409" i="4"/>
  <c r="G409" i="4"/>
  <c r="D409" i="4"/>
  <c r="C409" i="4"/>
  <c r="F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E410" i="4"/>
  <c r="G410" i="4"/>
  <c r="C410" i="4"/>
  <c r="F410" i="4"/>
  <c r="D410" i="4"/>
  <c r="B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E411" i="4"/>
  <c r="F411" i="4"/>
  <c r="C411" i="4"/>
  <c r="B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D412" i="4"/>
  <c r="C412" i="4"/>
  <c r="B412" i="4"/>
  <c r="G412" i="4"/>
  <c r="E412" i="4"/>
  <c r="F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G413" i="4"/>
  <c r="B413" i="4"/>
  <c r="C413" i="4"/>
  <c r="E413" i="4"/>
  <c r="F413" i="4"/>
  <c r="D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F414" i="4"/>
  <c r="D414" i="4"/>
  <c r="E414" i="4"/>
  <c r="G414" i="4"/>
  <c r="B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C415" i="4"/>
  <c r="D415" i="4"/>
  <c r="G415" i="4"/>
  <c r="F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B416" i="4"/>
  <c r="D416" i="4"/>
  <c r="F416" i="4"/>
  <c r="E416" i="4"/>
  <c r="C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C417" i="4"/>
  <c r="B417" i="4"/>
  <c r="F417" i="4"/>
  <c r="D417" i="4"/>
  <c r="E417" i="4"/>
  <c r="G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E418" i="4"/>
  <c r="D418" i="4"/>
  <c r="F418" i="4"/>
  <c r="G418" i="4"/>
  <c r="B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D419" i="4"/>
  <c r="B419" i="4"/>
  <c r="G419" i="4"/>
  <c r="F419" i="4"/>
  <c r="C419" i="4"/>
  <c r="E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E420" i="4"/>
  <c r="C420" i="4"/>
  <c r="D420" i="4"/>
  <c r="F420" i="4"/>
  <c r="G420" i="4"/>
  <c r="B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G421" i="4"/>
  <c r="C421" i="4"/>
  <c r="E421" i="4"/>
  <c r="B421" i="4"/>
  <c r="D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B422" i="4"/>
  <c r="G422" i="4"/>
  <c r="C422" i="4"/>
  <c r="E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C423" i="4"/>
  <c r="D423" i="4"/>
  <c r="B423" i="4"/>
  <c r="E423" i="4"/>
  <c r="F423" i="4"/>
  <c r="G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G424" i="4"/>
  <c r="D424" i="4"/>
  <c r="B424" i="4"/>
  <c r="C424" i="4"/>
  <c r="E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B425" i="4"/>
  <c r="D425" i="4"/>
  <c r="G425" i="4"/>
  <c r="E425" i="4"/>
  <c r="F425" i="4"/>
  <c r="C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G426" i="4"/>
  <c r="E426" i="4"/>
  <c r="B426" i="4"/>
  <c r="D426" i="4"/>
  <c r="F426" i="4"/>
  <c r="C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E427" i="4"/>
  <c r="B427" i="4"/>
  <c r="C427" i="4"/>
  <c r="G427" i="4"/>
  <c r="F427" i="4"/>
  <c r="D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C428" i="4"/>
  <c r="E428" i="4"/>
  <c r="B428" i="4"/>
  <c r="D428" i="4"/>
  <c r="G428" i="4"/>
  <c r="F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B429" i="4"/>
  <c r="G429" i="4"/>
  <c r="D429" i="4"/>
  <c r="C429" i="4"/>
  <c r="E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D430" i="4"/>
  <c r="F430" i="4"/>
  <c r="G430" i="4"/>
  <c r="C430" i="4"/>
  <c r="B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G431" i="4"/>
  <c r="B431" i="4"/>
  <c r="D431" i="4"/>
  <c r="F431" i="4"/>
  <c r="E431" i="4"/>
  <c r="C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G432" i="4"/>
  <c r="E432" i="4"/>
  <c r="F432" i="4"/>
  <c r="B432" i="4"/>
  <c r="D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E433" i="4"/>
  <c r="F433" i="4"/>
  <c r="D433" i="4"/>
  <c r="G433" i="4"/>
  <c r="B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C434" i="4"/>
  <c r="B434" i="4"/>
  <c r="F434" i="4"/>
  <c r="G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D435" i="4"/>
  <c r="C435" i="4"/>
  <c r="B435" i="4"/>
  <c r="E435" i="4"/>
  <c r="F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C436" i="4"/>
  <c r="B436" i="4"/>
  <c r="D436" i="4"/>
  <c r="F436" i="4"/>
  <c r="G436" i="4"/>
  <c r="E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B437" i="4"/>
  <c r="D437" i="4"/>
  <c r="C437" i="4"/>
  <c r="G437" i="4"/>
  <c r="F437" i="4"/>
  <c r="E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F438" i="4"/>
  <c r="C438" i="4"/>
  <c r="G438" i="4"/>
  <c r="B438" i="4"/>
  <c r="D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D439" i="4"/>
  <c r="E439" i="4"/>
  <c r="B439" i="4"/>
  <c r="C439" i="4"/>
  <c r="F439" i="4"/>
  <c r="G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B440" i="4"/>
  <c r="G440" i="4"/>
  <c r="C440" i="4"/>
  <c r="D440" i="4"/>
  <c r="E440" i="4"/>
  <c r="F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E441" i="4"/>
  <c r="G441" i="4"/>
  <c r="D441" i="4"/>
  <c r="F441" i="4"/>
  <c r="C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G442" i="4"/>
  <c r="C442" i="4"/>
  <c r="F442" i="4"/>
  <c r="B442" i="4"/>
  <c r="E442" i="4"/>
  <c r="D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B443" i="4"/>
  <c r="E443" i="4"/>
  <c r="G443" i="4"/>
  <c r="F443" i="4"/>
  <c r="D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F444" i="4"/>
  <c r="E444" i="4"/>
  <c r="D444" i="4"/>
  <c r="G444" i="4"/>
  <c r="C444" i="4"/>
  <c r="B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G445" i="4"/>
  <c r="D445" i="4"/>
  <c r="C445" i="4"/>
  <c r="F445" i="4"/>
  <c r="E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E446" i="4"/>
  <c r="C446" i="4"/>
  <c r="G446" i="4"/>
  <c r="B446" i="4"/>
  <c r="D446" i="4"/>
  <c r="F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G447" i="4"/>
  <c r="F447" i="4"/>
  <c r="C447" i="4"/>
  <c r="D447" i="4"/>
  <c r="B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D448" i="4"/>
  <c r="F448" i="4"/>
  <c r="B448" i="4"/>
  <c r="G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B449" i="4"/>
  <c r="G449" i="4"/>
  <c r="D449" i="4"/>
  <c r="C449" i="4"/>
  <c r="F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E450" i="4"/>
  <c r="G450" i="4"/>
  <c r="B450" i="4"/>
  <c r="C450" i="4"/>
  <c r="F450" i="4"/>
  <c r="D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G451" i="4"/>
  <c r="F451" i="4"/>
  <c r="C451" i="4"/>
  <c r="B451" i="4"/>
  <c r="E451" i="4"/>
  <c r="D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E452" i="4"/>
  <c r="D452" i="4"/>
  <c r="F452" i="4"/>
  <c r="G452" i="4"/>
  <c r="C452" i="4"/>
  <c r="B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D453" i="4"/>
  <c r="E453" i="4"/>
  <c r="C453" i="4"/>
  <c r="F453" i="4"/>
  <c r="B453" i="4"/>
  <c r="G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G454" i="4"/>
  <c r="B454" i="4"/>
  <c r="E454" i="4"/>
  <c r="C454" i="4"/>
  <c r="D454" i="4"/>
  <c r="F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G455" i="4"/>
  <c r="C455" i="4"/>
  <c r="B455" i="4"/>
  <c r="E455" i="4"/>
  <c r="D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B456" i="4"/>
  <c r="G456" i="4"/>
  <c r="F456" i="4"/>
  <c r="E456" i="4"/>
  <c r="C456" i="4"/>
  <c r="D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D457" i="4"/>
  <c r="F457" i="4"/>
  <c r="C457" i="4"/>
  <c r="G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D458" i="4"/>
  <c r="E458" i="4"/>
  <c r="F458" i="4"/>
  <c r="C458" i="4"/>
  <c r="G458" i="4"/>
  <c r="B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F459" i="4"/>
  <c r="B459" i="4"/>
  <c r="G459" i="4"/>
  <c r="D459" i="4"/>
  <c r="C459" i="4"/>
  <c r="E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C460" i="4"/>
  <c r="B460" i="4"/>
  <c r="F460" i="4"/>
  <c r="G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G461" i="4"/>
  <c r="F461" i="4"/>
  <c r="C461" i="4"/>
  <c r="B461" i="4"/>
  <c r="D461" i="4"/>
  <c r="E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B462" i="4"/>
  <c r="F462" i="4"/>
  <c r="G462" i="4"/>
  <c r="E462" i="4"/>
  <c r="D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G463" i="4"/>
  <c r="E463" i="4"/>
  <c r="B463" i="4"/>
  <c r="F463" i="4"/>
  <c r="D463" i="4"/>
  <c r="C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C464" i="4"/>
  <c r="E464" i="4"/>
  <c r="G464" i="4"/>
  <c r="D464" i="4"/>
  <c r="B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D465" i="4"/>
  <c r="B465" i="4"/>
  <c r="E465" i="4"/>
  <c r="F465" i="4"/>
  <c r="C465" i="4"/>
  <c r="G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G466" i="4"/>
  <c r="D466" i="4"/>
  <c r="F466" i="4"/>
  <c r="B466" i="4"/>
  <c r="C466" i="4"/>
  <c r="E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C467" i="4"/>
  <c r="E467" i="4"/>
  <c r="F467" i="4"/>
  <c r="G467" i="4"/>
  <c r="D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D468" i="4"/>
  <c r="G468" i="4"/>
  <c r="E468" i="4"/>
  <c r="C468" i="4"/>
  <c r="F468" i="4"/>
  <c r="B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F469" i="4"/>
  <c r="B469" i="4"/>
  <c r="D469" i="4"/>
  <c r="C469" i="4"/>
  <c r="G469" i="4"/>
  <c r="E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C470" i="4"/>
  <c r="E470" i="4"/>
  <c r="D470" i="4"/>
  <c r="G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D471" i="4"/>
  <c r="B471" i="4"/>
  <c r="E471" i="4"/>
  <c r="G471" i="4"/>
  <c r="F471" i="4"/>
  <c r="C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D472" i="4"/>
  <c r="E472" i="4"/>
  <c r="F472" i="4"/>
  <c r="C472" i="4"/>
  <c r="B472" i="4"/>
  <c r="G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C473" i="4"/>
  <c r="D473" i="4"/>
  <c r="B473" i="4"/>
  <c r="E473" i="4"/>
  <c r="F473" i="4"/>
  <c r="G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B474" i="4"/>
  <c r="G474" i="4"/>
  <c r="C474" i="4"/>
  <c r="E474" i="4"/>
  <c r="D474" i="4"/>
  <c r="F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G475" i="4"/>
  <c r="B475" i="4"/>
  <c r="F475" i="4"/>
  <c r="D475" i="4"/>
  <c r="E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F476" i="4"/>
  <c r="D476" i="4"/>
  <c r="E476" i="4"/>
  <c r="C476" i="4"/>
  <c r="G476" i="4"/>
  <c r="B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F477" i="4"/>
  <c r="E477" i="4"/>
  <c r="G477" i="4"/>
  <c r="B477" i="4"/>
  <c r="D477" i="4"/>
  <c r="C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B478" i="4"/>
  <c r="C478" i="4"/>
  <c r="D478" i="4"/>
  <c r="G478" i="4"/>
  <c r="F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F479" i="4"/>
  <c r="G479" i="4"/>
  <c r="C479" i="4"/>
  <c r="E479" i="4"/>
  <c r="D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C480" i="4"/>
  <c r="F480" i="4"/>
  <c r="D480" i="4"/>
  <c r="E480" i="4"/>
  <c r="G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G481" i="4"/>
  <c r="F481" i="4"/>
  <c r="D481" i="4"/>
  <c r="E481" i="4"/>
  <c r="B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E482" i="4"/>
  <c r="D482" i="4"/>
  <c r="G482" i="4"/>
  <c r="C482" i="4"/>
  <c r="B482" i="4"/>
  <c r="F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D483" i="4"/>
  <c r="E483" i="4"/>
  <c r="F483" i="4"/>
  <c r="C483" i="4"/>
  <c r="G483" i="4"/>
  <c r="B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C484" i="4"/>
  <c r="B484" i="4"/>
  <c r="E484" i="4"/>
  <c r="D484" i="4"/>
  <c r="F484" i="4"/>
  <c r="G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F485" i="4"/>
  <c r="G485" i="4"/>
  <c r="E485" i="4"/>
  <c r="B485" i="4"/>
  <c r="C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C486" i="4"/>
  <c r="B486" i="4"/>
  <c r="G486" i="4"/>
  <c r="D486" i="4"/>
  <c r="E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G487" i="4"/>
  <c r="F487" i="4"/>
  <c r="C487" i="4"/>
  <c r="E487" i="4"/>
  <c r="D487" i="4"/>
  <c r="B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F488" i="4"/>
  <c r="E488" i="4"/>
  <c r="B488" i="4"/>
  <c r="D488" i="4"/>
  <c r="C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F489" i="4"/>
  <c r="D489" i="4"/>
  <c r="E489" i="4"/>
  <c r="G489" i="4"/>
  <c r="C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G490" i="4"/>
  <c r="F490" i="4"/>
  <c r="D490" i="4"/>
  <c r="B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D491" i="4"/>
  <c r="B491" i="4"/>
  <c r="F491" i="4"/>
  <c r="G491" i="4"/>
  <c r="C491" i="4"/>
  <c r="E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D492" i="4"/>
  <c r="F492" i="4"/>
  <c r="G492" i="4"/>
  <c r="B492" i="4"/>
  <c r="E492" i="4"/>
  <c r="C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F493" i="4"/>
  <c r="E493" i="4"/>
  <c r="G493" i="4"/>
  <c r="C493" i="4"/>
  <c r="B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E494" i="4"/>
  <c r="C494" i="4"/>
  <c r="D494" i="4"/>
  <c r="G494" i="4"/>
  <c r="F494" i="4"/>
  <c r="B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E495" i="4"/>
  <c r="F495" i="4"/>
  <c r="D495" i="4"/>
  <c r="G495" i="4"/>
  <c r="C495" i="4"/>
  <c r="B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D496" i="4"/>
  <c r="E496" i="4"/>
  <c r="G496" i="4"/>
  <c r="F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G497" i="4"/>
  <c r="F497" i="4"/>
  <c r="E497" i="4"/>
  <c r="C497" i="4"/>
  <c r="B497" i="4"/>
  <c r="D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F498" i="4"/>
  <c r="E498" i="4"/>
  <c r="B498" i="4"/>
  <c r="D498" i="4"/>
  <c r="G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C499" i="4"/>
  <c r="B499" i="4"/>
  <c r="E499" i="4"/>
  <c r="D499" i="4"/>
  <c r="F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F500" i="4"/>
  <c r="D500" i="4"/>
  <c r="C500" i="4"/>
  <c r="G500" i="4"/>
  <c r="B500" i="4"/>
  <c r="E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F501" i="4"/>
  <c r="D501" i="4"/>
  <c r="C501" i="4"/>
  <c r="E501" i="4"/>
  <c r="B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E502" i="4"/>
  <c r="C502" i="4"/>
  <c r="G502" i="4"/>
  <c r="B502" i="4"/>
  <c r="F502" i="4"/>
  <c r="D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F503" i="4"/>
  <c r="C503" i="4"/>
  <c r="B503" i="4"/>
  <c r="G503" i="4"/>
  <c r="D503" i="4"/>
  <c r="E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D504" i="4"/>
  <c r="G504" i="4"/>
  <c r="C504" i="4"/>
  <c r="E504" i="4"/>
  <c r="B504" i="4"/>
  <c r="F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E505" i="4"/>
  <c r="G505" i="4"/>
  <c r="D505" i="4"/>
  <c r="C505" i="4"/>
  <c r="B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F506" i="4"/>
  <c r="E506" i="4"/>
  <c r="D506" i="4"/>
  <c r="B506" i="4"/>
  <c r="G506" i="4"/>
  <c r="C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D507" i="4"/>
  <c r="E507" i="4"/>
  <c r="C507" i="4"/>
  <c r="F507" i="4"/>
  <c r="G507" i="4"/>
  <c r="B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C508" i="4"/>
  <c r="B508" i="4"/>
  <c r="G508" i="4"/>
  <c r="D508" i="4"/>
  <c r="F508" i="4"/>
  <c r="E508" i="4"/>
  <c r="F505" i="8" l="1"/>
  <c r="C506" i="6"/>
  <c r="D506" i="6" s="1"/>
  <c r="H505" i="6"/>
  <c r="B506" i="8" s="1"/>
  <c r="B507" i="6"/>
  <c r="H508" i="4"/>
  <c r="I508" i="4"/>
  <c r="A508" i="6"/>
  <c r="A509" i="8" s="1"/>
  <c r="C509" i="4"/>
  <c r="B509" i="4"/>
  <c r="F509" i="4"/>
  <c r="E509" i="4"/>
  <c r="D509" i="4"/>
  <c r="G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E510" i="4"/>
  <c r="F510" i="4"/>
  <c r="D510" i="4"/>
  <c r="G510" i="4"/>
  <c r="B510" i="4"/>
  <c r="C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E511" i="4"/>
  <c r="D511" i="4"/>
  <c r="C511" i="4"/>
  <c r="F511" i="4"/>
  <c r="G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D512" i="4"/>
  <c r="G512" i="4"/>
  <c r="B512" i="4"/>
  <c r="C512" i="4"/>
  <c r="F512" i="4"/>
  <c r="E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B513" i="4"/>
  <c r="F513" i="4"/>
  <c r="G513" i="4"/>
  <c r="E513" i="4"/>
  <c r="D513" i="4"/>
  <c r="C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D514" i="4"/>
  <c r="C514" i="4"/>
  <c r="B514" i="4"/>
  <c r="G514" i="4"/>
  <c r="F514" i="4"/>
  <c r="E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G515" i="4"/>
  <c r="D515" i="4"/>
  <c r="C515" i="4"/>
  <c r="F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G516" i="4"/>
  <c r="E516" i="4"/>
  <c r="D516" i="4"/>
  <c r="B516" i="4"/>
  <c r="C516" i="4"/>
  <c r="F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C517" i="4"/>
  <c r="G517" i="4"/>
  <c r="B517" i="4"/>
  <c r="D517" i="4"/>
  <c r="E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D518" i="4"/>
  <c r="G518" i="4"/>
  <c r="B518" i="4"/>
  <c r="E518" i="4"/>
  <c r="C518" i="4"/>
  <c r="F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D519" i="4"/>
  <c r="F519" i="4"/>
  <c r="C519" i="4"/>
  <c r="G519" i="4"/>
  <c r="E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D520" i="4"/>
  <c r="E520" i="4"/>
  <c r="B520" i="4"/>
  <c r="F520" i="4"/>
  <c r="G520" i="4"/>
  <c r="C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F521" i="4"/>
  <c r="B521" i="4"/>
  <c r="D521" i="4"/>
  <c r="C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D522" i="4"/>
  <c r="B522" i="4"/>
  <c r="C522" i="4"/>
  <c r="E522" i="4"/>
  <c r="F522" i="4"/>
  <c r="G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C523" i="4"/>
  <c r="B523" i="4"/>
  <c r="G523" i="4"/>
  <c r="D523" i="4"/>
  <c r="E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G524" i="4"/>
  <c r="E524" i="4"/>
  <c r="D524" i="4"/>
  <c r="C524" i="4"/>
  <c r="B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B525" i="4"/>
  <c r="G525" i="4"/>
  <c r="F525" i="4"/>
  <c r="C525" i="4"/>
  <c r="E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D526" i="4"/>
  <c r="E526" i="4"/>
  <c r="B526" i="4"/>
  <c r="C526" i="4"/>
  <c r="F526" i="4"/>
  <c r="G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G527" i="4"/>
  <c r="D527" i="4"/>
  <c r="B527" i="4"/>
  <c r="F527" i="4"/>
  <c r="C527" i="4"/>
  <c r="E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C528" i="4"/>
  <c r="B528" i="4"/>
  <c r="E528" i="4"/>
  <c r="F528" i="4"/>
  <c r="G528" i="4"/>
  <c r="D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F529" i="4"/>
  <c r="B529" i="4"/>
  <c r="D529" i="4"/>
  <c r="G529" i="4"/>
  <c r="E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F530" i="4"/>
  <c r="B530" i="4"/>
  <c r="E530" i="4"/>
  <c r="G530" i="4"/>
  <c r="D530" i="4"/>
  <c r="C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B531" i="4"/>
  <c r="E531" i="4"/>
  <c r="F531" i="4"/>
  <c r="G531" i="4"/>
  <c r="D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F532" i="4"/>
  <c r="C532" i="4"/>
  <c r="E532" i="4"/>
  <c r="B532" i="4"/>
  <c r="G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E533" i="4"/>
  <c r="F533" i="4"/>
  <c r="B533" i="4"/>
  <c r="D533" i="4"/>
  <c r="C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B534" i="4"/>
  <c r="D534" i="4"/>
  <c r="G534" i="4"/>
  <c r="E534" i="4"/>
  <c r="F534" i="4"/>
  <c r="C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B535" i="4"/>
  <c r="G535" i="4"/>
  <c r="E535" i="4"/>
  <c r="F535" i="4"/>
  <c r="D535" i="4"/>
  <c r="C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G536" i="4"/>
  <c r="F536" i="4"/>
  <c r="E536" i="4"/>
  <c r="B536" i="4"/>
  <c r="D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C537" i="4"/>
  <c r="G537" i="4"/>
  <c r="F537" i="4"/>
  <c r="B537" i="4"/>
  <c r="D537" i="4"/>
  <c r="E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D538" i="4"/>
  <c r="G538" i="4"/>
  <c r="E538" i="4"/>
  <c r="C538" i="4"/>
  <c r="B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G539" i="4"/>
  <c r="B539" i="4"/>
  <c r="D539" i="4"/>
  <c r="C539" i="4"/>
  <c r="F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E540" i="4"/>
  <c r="F540" i="4"/>
  <c r="G540" i="4"/>
  <c r="C540" i="4"/>
  <c r="D540" i="4"/>
  <c r="B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D541" i="4"/>
  <c r="G541" i="4"/>
  <c r="F541" i="4"/>
  <c r="B541" i="4"/>
  <c r="E541" i="4"/>
  <c r="C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F542" i="4"/>
  <c r="C542" i="4"/>
  <c r="E542" i="4"/>
  <c r="B542" i="4"/>
  <c r="G542" i="4"/>
  <c r="D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E543" i="4"/>
  <c r="C543" i="4"/>
  <c r="G543" i="4"/>
  <c r="D543" i="4"/>
  <c r="F543" i="4"/>
  <c r="B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E544" i="4"/>
  <c r="D544" i="4"/>
  <c r="F544" i="4"/>
  <c r="B544" i="4"/>
  <c r="G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B545" i="4"/>
  <c r="D545" i="4"/>
  <c r="C545" i="4"/>
  <c r="E545" i="4"/>
  <c r="F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B546" i="4"/>
  <c r="F546" i="4"/>
  <c r="G546" i="4"/>
  <c r="C546" i="4"/>
  <c r="E546" i="4"/>
  <c r="D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D547" i="4"/>
  <c r="F547" i="4"/>
  <c r="E547" i="4"/>
  <c r="G547" i="4"/>
  <c r="B547" i="4"/>
  <c r="C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G548" i="4"/>
  <c r="D548" i="4"/>
  <c r="F548" i="4"/>
  <c r="B548" i="4"/>
  <c r="E548" i="4"/>
  <c r="C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G549" i="4"/>
  <c r="D549" i="4"/>
  <c r="E549" i="4"/>
  <c r="F549" i="4"/>
  <c r="C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C550" i="4"/>
  <c r="E550" i="4"/>
  <c r="D550" i="4"/>
  <c r="F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B551" i="4"/>
  <c r="G551" i="4"/>
  <c r="F551" i="4"/>
  <c r="D551" i="4"/>
  <c r="C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D552" i="4"/>
  <c r="G552" i="4"/>
  <c r="C552" i="4"/>
  <c r="F552" i="4"/>
  <c r="E552" i="4"/>
  <c r="B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E553" i="4"/>
  <c r="G553" i="4"/>
  <c r="F553" i="4"/>
  <c r="B553" i="4"/>
  <c r="C553" i="4"/>
  <c r="D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G554" i="4"/>
  <c r="D554" i="4"/>
  <c r="B554" i="4"/>
  <c r="E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D555" i="4"/>
  <c r="E555" i="4"/>
  <c r="G555" i="4"/>
  <c r="F555" i="4"/>
  <c r="C555" i="4"/>
  <c r="B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D556" i="4"/>
  <c r="F556" i="4"/>
  <c r="G556" i="4"/>
  <c r="B556" i="4"/>
  <c r="E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G557" i="4"/>
  <c r="D557" i="4"/>
  <c r="F557" i="4"/>
  <c r="B557" i="4"/>
  <c r="C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E558" i="4"/>
  <c r="G558" i="4"/>
  <c r="C558" i="4"/>
  <c r="B558" i="4"/>
  <c r="D558" i="4"/>
  <c r="F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B559" i="4"/>
  <c r="G559" i="4"/>
  <c r="C559" i="4"/>
  <c r="E559" i="4"/>
  <c r="F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E560" i="4"/>
  <c r="C560" i="4"/>
  <c r="F560" i="4"/>
  <c r="G560" i="4"/>
  <c r="D560" i="4"/>
  <c r="B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D561" i="4"/>
  <c r="E561" i="4"/>
  <c r="G561" i="4"/>
  <c r="B561" i="4"/>
  <c r="F561" i="4"/>
  <c r="C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G562" i="4"/>
  <c r="D562" i="4"/>
  <c r="F562" i="4"/>
  <c r="B562" i="4"/>
  <c r="E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F563" i="4"/>
  <c r="D563" i="4"/>
  <c r="E563" i="4"/>
  <c r="G563" i="4"/>
  <c r="B563" i="4"/>
  <c r="C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F564" i="4"/>
  <c r="D564" i="4"/>
  <c r="E564" i="4"/>
  <c r="B564" i="4"/>
  <c r="G564" i="4"/>
  <c r="C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F565" i="4"/>
  <c r="D565" i="4"/>
  <c r="C565" i="4"/>
  <c r="E565" i="4"/>
  <c r="G565" i="4"/>
  <c r="B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C566" i="4"/>
  <c r="B566" i="4"/>
  <c r="E566" i="4"/>
  <c r="G566" i="4"/>
  <c r="D566" i="4"/>
  <c r="F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F567" i="4"/>
  <c r="G567" i="4"/>
  <c r="B567" i="4"/>
  <c r="C567" i="4"/>
  <c r="D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C568" i="4"/>
  <c r="D568" i="4"/>
  <c r="F568" i="4"/>
  <c r="E568" i="4"/>
  <c r="G568" i="4"/>
  <c r="B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C569" i="4"/>
  <c r="B569" i="4"/>
  <c r="E569" i="4"/>
  <c r="F569" i="4"/>
  <c r="G569" i="4"/>
  <c r="D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E570" i="4"/>
  <c r="C570" i="4"/>
  <c r="F570" i="4"/>
  <c r="D570" i="4"/>
  <c r="G570" i="4"/>
  <c r="B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C571" i="4"/>
  <c r="G571" i="4"/>
  <c r="D571" i="4"/>
  <c r="B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F572" i="4"/>
  <c r="G572" i="4"/>
  <c r="C572" i="4"/>
  <c r="D572" i="4"/>
  <c r="B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E573" i="4"/>
  <c r="F573" i="4"/>
  <c r="G573" i="4"/>
  <c r="D573" i="4"/>
  <c r="B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E574" i="4"/>
  <c r="D574" i="4"/>
  <c r="B574" i="4"/>
  <c r="G574" i="4"/>
  <c r="F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G575" i="4"/>
  <c r="C575" i="4"/>
  <c r="D575" i="4"/>
  <c r="F575" i="4"/>
  <c r="B575" i="4"/>
  <c r="E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D576" i="4"/>
  <c r="F576" i="4"/>
  <c r="G576" i="4"/>
  <c r="B576" i="4"/>
  <c r="C576" i="4"/>
  <c r="E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E577" i="4"/>
  <c r="D577" i="4"/>
  <c r="G577" i="4"/>
  <c r="F577" i="4"/>
  <c r="C577" i="4"/>
  <c r="B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D578" i="4"/>
  <c r="C578" i="4"/>
  <c r="F578" i="4"/>
  <c r="E578" i="4"/>
  <c r="B578" i="4"/>
  <c r="G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B579" i="4"/>
  <c r="F579" i="4"/>
  <c r="G579" i="4"/>
  <c r="E579" i="4"/>
  <c r="D579" i="4"/>
  <c r="C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F580" i="4"/>
  <c r="G580" i="4"/>
  <c r="B580" i="4"/>
  <c r="E580" i="4"/>
  <c r="D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D581" i="4"/>
  <c r="G581" i="4"/>
  <c r="C581" i="4"/>
  <c r="F581" i="4"/>
  <c r="B581" i="4"/>
  <c r="E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G582" i="4"/>
  <c r="F582" i="4"/>
  <c r="C582" i="4"/>
  <c r="E582" i="4"/>
  <c r="D582" i="4"/>
  <c r="B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C583" i="4"/>
  <c r="D583" i="4"/>
  <c r="G583" i="4"/>
  <c r="B583" i="4"/>
  <c r="F583" i="4"/>
  <c r="E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G584" i="4"/>
  <c r="C584" i="4"/>
  <c r="F584" i="4"/>
  <c r="B584" i="4"/>
  <c r="D584" i="4"/>
  <c r="E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C585" i="4"/>
  <c r="G585" i="4"/>
  <c r="F585" i="4"/>
  <c r="B585" i="4"/>
  <c r="D585" i="4"/>
  <c r="E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D586" i="4"/>
  <c r="C586" i="4"/>
  <c r="B586" i="4"/>
  <c r="G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E587" i="4"/>
  <c r="B587" i="4"/>
  <c r="D587" i="4"/>
  <c r="G587" i="4"/>
  <c r="F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F588" i="4"/>
  <c r="C588" i="4"/>
  <c r="B588" i="4"/>
  <c r="D588" i="4"/>
  <c r="E588" i="4"/>
  <c r="G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G589" i="4"/>
  <c r="C589" i="4"/>
  <c r="D589" i="4"/>
  <c r="B589" i="4"/>
  <c r="E589" i="4"/>
  <c r="F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B590" i="4"/>
  <c r="D590" i="4"/>
  <c r="G590" i="4"/>
  <c r="C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G591" i="4"/>
  <c r="B591" i="4"/>
  <c r="E591" i="4"/>
  <c r="F591" i="4"/>
  <c r="D591" i="4"/>
  <c r="C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B592" i="4"/>
  <c r="E592" i="4"/>
  <c r="D592" i="4"/>
  <c r="F592" i="4"/>
  <c r="C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G593" i="4"/>
  <c r="D593" i="4"/>
  <c r="B593" i="4"/>
  <c r="E593" i="4"/>
  <c r="F593" i="4"/>
  <c r="C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G594" i="4"/>
  <c r="E594" i="4"/>
  <c r="D594" i="4"/>
  <c r="F594" i="4"/>
  <c r="B594" i="4"/>
  <c r="C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F595" i="4"/>
  <c r="G595" i="4"/>
  <c r="B595" i="4"/>
  <c r="E595" i="4"/>
  <c r="D595" i="4"/>
  <c r="C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E596" i="4"/>
  <c r="D596" i="4"/>
  <c r="B596" i="4"/>
  <c r="G596" i="4"/>
  <c r="C596" i="4"/>
  <c r="F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D597" i="4"/>
  <c r="C597" i="4"/>
  <c r="B597" i="4"/>
  <c r="E597" i="4"/>
  <c r="G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D598" i="4"/>
  <c r="C598" i="4"/>
  <c r="B598" i="4"/>
  <c r="E598" i="4"/>
  <c r="F598" i="4"/>
  <c r="G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G599" i="4"/>
  <c r="D599" i="4"/>
  <c r="B599" i="4"/>
  <c r="C599" i="4"/>
  <c r="F599" i="4"/>
  <c r="E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F600" i="4"/>
  <c r="B600" i="4"/>
  <c r="G600" i="4"/>
  <c r="E600" i="4"/>
  <c r="D600" i="4"/>
  <c r="C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C601" i="4"/>
  <c r="G601" i="4"/>
  <c r="E601" i="4"/>
  <c r="D601" i="4"/>
  <c r="F601" i="4"/>
  <c r="B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E602" i="4"/>
  <c r="C602" i="4"/>
  <c r="G602" i="4"/>
  <c r="B602" i="4"/>
  <c r="F602" i="4"/>
  <c r="D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G603" i="4"/>
  <c r="C603" i="4"/>
  <c r="D603" i="4"/>
  <c r="B603" i="4"/>
  <c r="F603" i="4"/>
  <c r="E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E604" i="4"/>
  <c r="F604" i="4"/>
  <c r="D604" i="4"/>
  <c r="B604" i="4"/>
  <c r="C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D605" i="4"/>
  <c r="C605" i="4"/>
  <c r="F605" i="4"/>
  <c r="B605" i="4"/>
  <c r="G605" i="4"/>
  <c r="E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D606" i="4"/>
  <c r="G606" i="4"/>
  <c r="B606" i="4"/>
  <c r="F606" i="4"/>
  <c r="E606" i="4"/>
  <c r="C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C607" i="4"/>
  <c r="F607" i="4"/>
  <c r="B607" i="4"/>
  <c r="G607" i="4"/>
  <c r="D607" i="4"/>
  <c r="E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E608" i="4"/>
  <c r="C608" i="4"/>
  <c r="F608" i="4"/>
  <c r="D608" i="4"/>
  <c r="G608" i="4"/>
  <c r="B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D609" i="4"/>
  <c r="G609" i="4"/>
  <c r="B609" i="4"/>
  <c r="C609" i="4"/>
  <c r="E609" i="4"/>
  <c r="F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C610" i="4"/>
  <c r="B610" i="4"/>
  <c r="E610" i="4"/>
  <c r="F610" i="4"/>
  <c r="D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F611" i="4"/>
  <c r="B611" i="4"/>
  <c r="G611" i="4"/>
  <c r="C611" i="4"/>
  <c r="D611" i="4"/>
  <c r="E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C612" i="4"/>
  <c r="E612" i="4"/>
  <c r="F612" i="4"/>
  <c r="D612" i="4"/>
  <c r="G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F613" i="4"/>
  <c r="B613" i="4"/>
  <c r="D613" i="4"/>
  <c r="G613" i="4"/>
  <c r="C613" i="4"/>
  <c r="E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E614" i="4"/>
  <c r="D614" i="4"/>
  <c r="B614" i="4"/>
  <c r="G614" i="4"/>
  <c r="F614" i="4"/>
  <c r="C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B615" i="4"/>
  <c r="F615" i="4"/>
  <c r="D615" i="4"/>
  <c r="C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B616" i="4"/>
  <c r="C616" i="4"/>
  <c r="G616" i="4"/>
  <c r="D616" i="4"/>
  <c r="E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E617" i="4"/>
  <c r="F617" i="4"/>
  <c r="B617" i="4"/>
  <c r="G617" i="4"/>
  <c r="C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F618" i="4"/>
  <c r="B618" i="4"/>
  <c r="D618" i="4"/>
  <c r="C618" i="4"/>
  <c r="G618" i="4"/>
  <c r="E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C619" i="4"/>
  <c r="F619" i="4"/>
  <c r="G619" i="4"/>
  <c r="D619" i="4"/>
  <c r="B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E620" i="4"/>
  <c r="D620" i="4"/>
  <c r="F620" i="4"/>
  <c r="G620" i="4"/>
  <c r="B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B621" i="4"/>
  <c r="G621" i="4"/>
  <c r="E621" i="4"/>
  <c r="C621" i="4"/>
  <c r="D621" i="4"/>
  <c r="F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G622" i="4"/>
  <c r="F622" i="4"/>
  <c r="B622" i="4"/>
  <c r="E622" i="4"/>
  <c r="D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F623" i="4"/>
  <c r="C623" i="4"/>
  <c r="B623" i="4"/>
  <c r="G623" i="4"/>
  <c r="E623" i="4"/>
  <c r="D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G624" i="4"/>
  <c r="C624" i="4"/>
  <c r="B624" i="4"/>
  <c r="E624" i="4"/>
  <c r="F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G625" i="4"/>
  <c r="E625" i="4"/>
  <c r="D625" i="4"/>
  <c r="B625" i="4"/>
  <c r="F625" i="4"/>
  <c r="C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G626" i="4"/>
  <c r="B626" i="4"/>
  <c r="C626" i="4"/>
  <c r="D626" i="4"/>
  <c r="E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E627" i="4"/>
  <c r="C627" i="4"/>
  <c r="D627" i="4"/>
  <c r="F627" i="4"/>
  <c r="G627" i="4"/>
  <c r="B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F628" i="4"/>
  <c r="E628" i="4"/>
  <c r="G628" i="4"/>
  <c r="C628" i="4"/>
  <c r="B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E629" i="4"/>
  <c r="F629" i="4"/>
  <c r="D629" i="4"/>
  <c r="B629" i="4"/>
  <c r="G629" i="4"/>
  <c r="C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F630" i="4"/>
  <c r="G630" i="4"/>
  <c r="C630" i="4"/>
  <c r="E630" i="4"/>
  <c r="B630" i="4"/>
  <c r="D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F631" i="4"/>
  <c r="B631" i="4"/>
  <c r="D631" i="4"/>
  <c r="C631" i="4"/>
  <c r="E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E632" i="4"/>
  <c r="D632" i="4"/>
  <c r="F632" i="4"/>
  <c r="B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F633" i="4"/>
  <c r="B633" i="4"/>
  <c r="D633" i="4"/>
  <c r="G633" i="4"/>
  <c r="C633" i="4"/>
  <c r="E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C634" i="4"/>
  <c r="F634" i="4"/>
  <c r="G634" i="4"/>
  <c r="E634" i="4"/>
  <c r="B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C635" i="4"/>
  <c r="D635" i="4"/>
  <c r="B635" i="4"/>
  <c r="E635" i="4"/>
  <c r="G635" i="4"/>
  <c r="F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F636" i="4"/>
  <c r="E636" i="4"/>
  <c r="B636" i="4"/>
  <c r="D636" i="4"/>
  <c r="G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F637" i="4"/>
  <c r="C637" i="4"/>
  <c r="B637" i="4"/>
  <c r="G637" i="4"/>
  <c r="D637" i="4"/>
  <c r="E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B638" i="4"/>
  <c r="G638" i="4"/>
  <c r="D638" i="4"/>
  <c r="C638" i="4"/>
  <c r="E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B639" i="4"/>
  <c r="C639" i="4"/>
  <c r="F639" i="4"/>
  <c r="G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D640" i="4"/>
  <c r="C640" i="4"/>
  <c r="G640" i="4"/>
  <c r="E640" i="4"/>
  <c r="B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D641" i="4"/>
  <c r="G641" i="4"/>
  <c r="F641" i="4"/>
  <c r="E641" i="4"/>
  <c r="B641" i="4"/>
  <c r="C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F642" i="4"/>
  <c r="G642" i="4"/>
  <c r="D642" i="4"/>
  <c r="E642" i="4"/>
  <c r="B642" i="4"/>
  <c r="C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C643" i="4"/>
  <c r="E643" i="4"/>
  <c r="F643" i="4"/>
  <c r="D643" i="4"/>
  <c r="B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D644" i="4"/>
  <c r="B644" i="4"/>
  <c r="G644" i="4"/>
  <c r="F644" i="4"/>
  <c r="E644" i="4"/>
  <c r="C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G645" i="4"/>
  <c r="B645" i="4"/>
  <c r="D645" i="4"/>
  <c r="F645" i="4"/>
  <c r="E645" i="4"/>
  <c r="C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F646" i="4"/>
  <c r="E646" i="4"/>
  <c r="C646" i="4"/>
  <c r="G646" i="4"/>
  <c r="B646" i="4"/>
  <c r="D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E647" i="4"/>
  <c r="C647" i="4"/>
  <c r="G647" i="4"/>
  <c r="F647" i="4"/>
  <c r="D647" i="4"/>
  <c r="B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C648" i="4"/>
  <c r="F648" i="4"/>
  <c r="D648" i="4"/>
  <c r="B648" i="4"/>
  <c r="E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D649" i="4"/>
  <c r="F649" i="4"/>
  <c r="E649" i="4"/>
  <c r="G649" i="4"/>
  <c r="B649" i="4"/>
  <c r="C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B650" i="4"/>
  <c r="G650" i="4"/>
  <c r="C650" i="4"/>
  <c r="E650" i="4"/>
  <c r="F650" i="4"/>
  <c r="D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C651" i="4"/>
  <c r="F651" i="4"/>
  <c r="G651" i="4"/>
  <c r="E651" i="4"/>
  <c r="D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C652" i="4"/>
  <c r="B652" i="4"/>
  <c r="E652" i="4"/>
  <c r="G652" i="4"/>
  <c r="D652" i="4"/>
  <c r="F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B653" i="4"/>
  <c r="C653" i="4"/>
  <c r="E653" i="4"/>
  <c r="G653" i="4"/>
  <c r="D653" i="4"/>
  <c r="F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E654" i="4"/>
  <c r="D654" i="4"/>
  <c r="G654" i="4"/>
  <c r="C654" i="4"/>
  <c r="F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C655" i="4"/>
  <c r="B655" i="4"/>
  <c r="F655" i="4"/>
  <c r="E655" i="4"/>
  <c r="G655" i="4"/>
  <c r="D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D656" i="4"/>
  <c r="G656" i="4"/>
  <c r="E656" i="4"/>
  <c r="F656" i="4"/>
  <c r="B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E657" i="4"/>
  <c r="C657" i="4"/>
  <c r="D657" i="4"/>
  <c r="F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C658" i="4"/>
  <c r="D658" i="4"/>
  <c r="F658" i="4"/>
  <c r="B658" i="4"/>
  <c r="E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B659" i="4"/>
  <c r="F659" i="4"/>
  <c r="D659" i="4"/>
  <c r="C659" i="4"/>
  <c r="G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E660" i="4"/>
  <c r="G660" i="4"/>
  <c r="B660" i="4"/>
  <c r="F660" i="4"/>
  <c r="C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G661" i="4"/>
  <c r="C661" i="4"/>
  <c r="D661" i="4"/>
  <c r="B661" i="4"/>
  <c r="E661" i="4"/>
  <c r="F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E662" i="4"/>
  <c r="D662" i="4"/>
  <c r="B662" i="4"/>
  <c r="F662" i="4"/>
  <c r="G662" i="4"/>
  <c r="C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E663" i="4"/>
  <c r="B663" i="4"/>
  <c r="D663" i="4"/>
  <c r="F663" i="4"/>
  <c r="G663" i="4"/>
  <c r="C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D664" i="4"/>
  <c r="B664" i="4"/>
  <c r="C664" i="4"/>
  <c r="F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B665" i="4"/>
  <c r="D665" i="4"/>
  <c r="C665" i="4"/>
  <c r="G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E666" i="4"/>
  <c r="C666" i="4"/>
  <c r="F666" i="4"/>
  <c r="G666" i="4"/>
  <c r="B666" i="4"/>
  <c r="D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B667" i="4"/>
  <c r="C667" i="4"/>
  <c r="E667" i="4"/>
  <c r="G667" i="4"/>
  <c r="D667" i="4"/>
  <c r="F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E668" i="4"/>
  <c r="C668" i="4"/>
  <c r="B668" i="4"/>
  <c r="G668" i="4"/>
  <c r="F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G669" i="4"/>
  <c r="D669" i="4"/>
  <c r="B669" i="4"/>
  <c r="C669" i="4"/>
  <c r="E669" i="4"/>
  <c r="F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B670" i="4"/>
  <c r="C670" i="4"/>
  <c r="G670" i="4"/>
  <c r="D670" i="4"/>
  <c r="F670" i="4"/>
  <c r="E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G671" i="4"/>
  <c r="E671" i="4"/>
  <c r="B671" i="4"/>
  <c r="D671" i="4"/>
  <c r="C671" i="4"/>
  <c r="F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D672" i="4"/>
  <c r="E672" i="4"/>
  <c r="B672" i="4"/>
  <c r="G672" i="4"/>
  <c r="F672" i="4"/>
  <c r="C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D673" i="4"/>
  <c r="C673" i="4"/>
  <c r="B673" i="4"/>
  <c r="E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G674" i="4"/>
  <c r="B674" i="4"/>
  <c r="F674" i="4"/>
  <c r="C674" i="4"/>
  <c r="D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E675" i="4"/>
  <c r="D675" i="4"/>
  <c r="F675" i="4"/>
  <c r="C675" i="4"/>
  <c r="B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B676" i="4"/>
  <c r="C676" i="4"/>
  <c r="D676" i="4"/>
  <c r="G676" i="4"/>
  <c r="F676" i="4"/>
  <c r="E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D677" i="4"/>
  <c r="C677" i="4"/>
  <c r="F677" i="4"/>
  <c r="E677" i="4"/>
  <c r="B677" i="4"/>
  <c r="G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F678" i="4"/>
  <c r="E678" i="4"/>
  <c r="D678" i="4"/>
  <c r="C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E679" i="4"/>
  <c r="F679" i="4"/>
  <c r="D679" i="4"/>
  <c r="B679" i="4"/>
  <c r="C679" i="4"/>
  <c r="G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B680" i="4"/>
  <c r="E680" i="4"/>
  <c r="G680" i="4"/>
  <c r="F680" i="4"/>
  <c r="D680" i="4"/>
  <c r="C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B681" i="4"/>
  <c r="E681" i="4"/>
  <c r="C681" i="4"/>
  <c r="G681" i="4"/>
  <c r="F681" i="4"/>
  <c r="D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E682" i="4"/>
  <c r="G682" i="4"/>
  <c r="B682" i="4"/>
  <c r="F682" i="4"/>
  <c r="D682" i="4"/>
  <c r="C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E683" i="4"/>
  <c r="C683" i="4"/>
  <c r="F683" i="4"/>
  <c r="B683" i="4"/>
  <c r="G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C684" i="4"/>
  <c r="D684" i="4"/>
  <c r="F684" i="4"/>
  <c r="E684" i="4"/>
  <c r="B684" i="4"/>
  <c r="G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F685" i="4"/>
  <c r="G685" i="4"/>
  <c r="D685" i="4"/>
  <c r="E685" i="4"/>
  <c r="C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C686" i="4"/>
  <c r="D686" i="4"/>
  <c r="E686" i="4"/>
  <c r="G686" i="4"/>
  <c r="F686" i="4"/>
  <c r="B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F687" i="4"/>
  <c r="D687" i="4"/>
  <c r="B687" i="4"/>
  <c r="G687" i="4"/>
  <c r="E687" i="4"/>
  <c r="C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F688" i="4"/>
  <c r="G688" i="4"/>
  <c r="B688" i="4"/>
  <c r="D688" i="4"/>
  <c r="C688" i="4"/>
  <c r="E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G689" i="4"/>
  <c r="E689" i="4"/>
  <c r="F689" i="4"/>
  <c r="C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F690" i="4"/>
  <c r="G690" i="4"/>
  <c r="E690" i="4"/>
  <c r="D690" i="4"/>
  <c r="C690" i="4"/>
  <c r="B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E691" i="4"/>
  <c r="G691" i="4"/>
  <c r="B691" i="4"/>
  <c r="C691" i="4"/>
  <c r="D691" i="4"/>
  <c r="F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D692" i="4"/>
  <c r="G692" i="4"/>
  <c r="E692" i="4"/>
  <c r="B692" i="4"/>
  <c r="F692" i="4"/>
  <c r="C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C693" i="4"/>
  <c r="B693" i="4"/>
  <c r="G693" i="4"/>
  <c r="F693" i="4"/>
  <c r="D693" i="4"/>
  <c r="E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F694" i="4"/>
  <c r="C694" i="4"/>
  <c r="B694" i="4"/>
  <c r="D694" i="4"/>
  <c r="E694" i="4"/>
  <c r="G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D695" i="4"/>
  <c r="E695" i="4"/>
  <c r="B695" i="4"/>
  <c r="F695" i="4"/>
  <c r="G695" i="4"/>
  <c r="C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C696" i="4"/>
  <c r="F696" i="4"/>
  <c r="B696" i="4"/>
  <c r="G696" i="4"/>
  <c r="E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G697" i="4"/>
  <c r="E697" i="4"/>
  <c r="F697" i="4"/>
  <c r="C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D698" i="4"/>
  <c r="C698" i="4"/>
  <c r="F698" i="4"/>
  <c r="G698" i="4"/>
  <c r="E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C699" i="4"/>
  <c r="B699" i="4"/>
  <c r="G699" i="4"/>
  <c r="E699" i="4"/>
  <c r="F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G700" i="4"/>
  <c r="B700" i="4"/>
  <c r="F700" i="4"/>
  <c r="E700" i="4"/>
  <c r="D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G701" i="4"/>
  <c r="F701" i="4"/>
  <c r="B701" i="4"/>
  <c r="C701" i="4"/>
  <c r="D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G702" i="4"/>
  <c r="F702" i="4"/>
  <c r="E702" i="4"/>
  <c r="C702" i="4"/>
  <c r="B702" i="4"/>
  <c r="D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C703" i="4"/>
  <c r="B703" i="4"/>
  <c r="D703" i="4"/>
  <c r="E703" i="4"/>
  <c r="F703" i="4"/>
  <c r="G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B704" i="4"/>
  <c r="F704" i="4"/>
  <c r="G704" i="4"/>
  <c r="C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B705" i="4"/>
  <c r="E705" i="4"/>
  <c r="D705" i="4"/>
  <c r="C705" i="4"/>
  <c r="G705" i="4"/>
  <c r="F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C706" i="4"/>
  <c r="B706" i="4"/>
  <c r="G706" i="4"/>
  <c r="F706" i="4"/>
  <c r="E706" i="4"/>
  <c r="D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D707" i="4"/>
  <c r="G707" i="4"/>
  <c r="B707" i="4"/>
  <c r="E707" i="4"/>
  <c r="F707" i="4"/>
  <c r="C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G708" i="4"/>
  <c r="E708" i="4"/>
  <c r="B708" i="4"/>
  <c r="D708" i="4"/>
  <c r="F708" i="4"/>
  <c r="C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D709" i="4"/>
  <c r="F709" i="4"/>
  <c r="C709" i="4"/>
  <c r="E709" i="4"/>
  <c r="G709" i="4"/>
  <c r="B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B710" i="4"/>
  <c r="G710" i="4"/>
  <c r="E710" i="4"/>
  <c r="D710" i="4"/>
  <c r="C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F711" i="4"/>
  <c r="C711" i="4"/>
  <c r="B711" i="4"/>
  <c r="D711" i="4"/>
  <c r="E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G712" i="4"/>
  <c r="F712" i="4"/>
  <c r="D712" i="4"/>
  <c r="B712" i="4"/>
  <c r="C712" i="4"/>
  <c r="E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B713" i="4"/>
  <c r="G713" i="4"/>
  <c r="E713" i="4"/>
  <c r="D713" i="4"/>
  <c r="F713" i="4"/>
  <c r="C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F714" i="4"/>
  <c r="B714" i="4"/>
  <c r="D714" i="4"/>
  <c r="E714" i="4"/>
  <c r="C714" i="4"/>
  <c r="G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D715" i="4"/>
  <c r="C715" i="4"/>
  <c r="G715" i="4"/>
  <c r="E715" i="4"/>
  <c r="B715" i="4"/>
  <c r="F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B716" i="4"/>
  <c r="E716" i="4"/>
  <c r="F716" i="4"/>
  <c r="C716" i="4"/>
  <c r="G716" i="4"/>
  <c r="D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G717" i="4"/>
  <c r="F717" i="4"/>
  <c r="D717" i="4"/>
  <c r="E717" i="4"/>
  <c r="C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G718" i="4"/>
  <c r="B718" i="4"/>
  <c r="E718" i="4"/>
  <c r="D718" i="4"/>
  <c r="C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G719" i="4"/>
  <c r="E719" i="4"/>
  <c r="F719" i="4"/>
  <c r="D719" i="4"/>
  <c r="C719" i="4"/>
  <c r="B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D720" i="4"/>
  <c r="F720" i="4"/>
  <c r="E720" i="4"/>
  <c r="C720" i="4"/>
  <c r="B720" i="4"/>
  <c r="G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F721" i="4"/>
  <c r="B721" i="4"/>
  <c r="D721" i="4"/>
  <c r="E721" i="4"/>
  <c r="G721" i="4"/>
  <c r="C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C722" i="4"/>
  <c r="G722" i="4"/>
  <c r="E722" i="4"/>
  <c r="B722" i="4"/>
  <c r="F722" i="4"/>
  <c r="D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D723" i="4"/>
  <c r="E723" i="4"/>
  <c r="G723" i="4"/>
  <c r="F723" i="4"/>
  <c r="B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C724" i="4"/>
  <c r="E724" i="4"/>
  <c r="B724" i="4"/>
  <c r="G724" i="4"/>
  <c r="F724" i="4"/>
  <c r="D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F725" i="4"/>
  <c r="B725" i="4"/>
  <c r="C725" i="4"/>
  <c r="D725" i="4"/>
  <c r="E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E726" i="4"/>
  <c r="D726" i="4"/>
  <c r="B726" i="4"/>
  <c r="C726" i="4"/>
  <c r="G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G727" i="4"/>
  <c r="E727" i="4"/>
  <c r="B727" i="4"/>
  <c r="D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C728" i="4"/>
  <c r="D728" i="4"/>
  <c r="F728" i="4"/>
  <c r="G728" i="4"/>
  <c r="E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C729" i="4"/>
  <c r="D729" i="4"/>
  <c r="F729" i="4"/>
  <c r="B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F730" i="4"/>
  <c r="G730" i="4"/>
  <c r="E730" i="4"/>
  <c r="C730" i="4"/>
  <c r="B730" i="4"/>
  <c r="D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B731" i="4"/>
  <c r="D731" i="4"/>
  <c r="F731" i="4"/>
  <c r="C731" i="4"/>
  <c r="G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E732" i="4"/>
  <c r="F732" i="4"/>
  <c r="B732" i="4"/>
  <c r="G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G733" i="4"/>
  <c r="B733" i="4"/>
  <c r="E733" i="4"/>
  <c r="F733" i="4"/>
  <c r="D733" i="4"/>
  <c r="C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D734" i="4"/>
  <c r="G734" i="4"/>
  <c r="B734" i="4"/>
  <c r="E734" i="4"/>
  <c r="F734" i="4"/>
  <c r="C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F735" i="4"/>
  <c r="B735" i="4"/>
  <c r="G735" i="4"/>
  <c r="E735" i="4"/>
  <c r="D735" i="4"/>
  <c r="C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C736" i="4"/>
  <c r="F736" i="4"/>
  <c r="G736" i="4"/>
  <c r="B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C737" i="4"/>
  <c r="G737" i="4"/>
  <c r="B737" i="4"/>
  <c r="D737" i="4"/>
  <c r="E737" i="4"/>
  <c r="F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D738" i="4"/>
  <c r="C738" i="4"/>
  <c r="G738" i="4"/>
  <c r="E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C739" i="4"/>
  <c r="B739" i="4"/>
  <c r="D739" i="4"/>
  <c r="F739" i="4"/>
  <c r="G739" i="4"/>
  <c r="E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B740" i="4"/>
  <c r="D740" i="4"/>
  <c r="F740" i="4"/>
  <c r="C740" i="4"/>
  <c r="E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G741" i="4"/>
  <c r="D741" i="4"/>
  <c r="C741" i="4"/>
  <c r="B741" i="4"/>
  <c r="F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F742" i="4"/>
  <c r="B742" i="4"/>
  <c r="D742" i="4"/>
  <c r="E742" i="4"/>
  <c r="C742" i="4"/>
  <c r="G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G743" i="4"/>
  <c r="E743" i="4"/>
  <c r="C743" i="4"/>
  <c r="D743" i="4"/>
  <c r="B743" i="4"/>
  <c r="F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B744" i="4"/>
  <c r="C744" i="4"/>
  <c r="E744" i="4"/>
  <c r="D744" i="4"/>
  <c r="F744" i="4"/>
  <c r="G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B745" i="4"/>
  <c r="D745" i="4"/>
  <c r="C745" i="4"/>
  <c r="E745" i="4"/>
  <c r="F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C746" i="4"/>
  <c r="D746" i="4"/>
  <c r="F746" i="4"/>
  <c r="G746" i="4"/>
  <c r="B746" i="4"/>
  <c r="E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F747" i="4"/>
  <c r="E747" i="4"/>
  <c r="B747" i="4"/>
  <c r="D747" i="4"/>
  <c r="C747" i="4"/>
  <c r="G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F748" i="4"/>
  <c r="B748" i="4"/>
  <c r="C748" i="4"/>
  <c r="D748" i="4"/>
  <c r="E748" i="4"/>
  <c r="G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D749" i="4"/>
  <c r="E749" i="4"/>
  <c r="G749" i="4"/>
  <c r="F749" i="4"/>
  <c r="B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B750" i="4"/>
  <c r="G750" i="4"/>
  <c r="F750" i="4"/>
  <c r="C750" i="4"/>
  <c r="D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G751" i="4"/>
  <c r="B751" i="4"/>
  <c r="D751" i="4"/>
  <c r="F751" i="4"/>
  <c r="E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G752" i="4"/>
  <c r="F752" i="4"/>
  <c r="C752" i="4"/>
  <c r="B752" i="4"/>
  <c r="D752" i="4"/>
  <c r="E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G753" i="4"/>
  <c r="F753" i="4"/>
  <c r="E753" i="4"/>
  <c r="D753" i="4"/>
  <c r="B753" i="4"/>
  <c r="C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E754" i="4"/>
  <c r="F754" i="4"/>
  <c r="D754" i="4"/>
  <c r="G754" i="4"/>
  <c r="C754" i="4"/>
  <c r="B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D755" i="4"/>
  <c r="C755" i="4"/>
  <c r="E755" i="4"/>
  <c r="B755" i="4"/>
  <c r="F755" i="4"/>
  <c r="G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C756" i="4"/>
  <c r="F756" i="4"/>
  <c r="B756" i="4"/>
  <c r="E756" i="4"/>
  <c r="D756" i="4"/>
  <c r="G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F757" i="4"/>
  <c r="E757" i="4"/>
  <c r="G757" i="4"/>
  <c r="D757" i="4"/>
  <c r="C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E758" i="4"/>
  <c r="B758" i="4"/>
  <c r="D758" i="4"/>
  <c r="F758" i="4"/>
  <c r="C758" i="4"/>
  <c r="G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C759" i="4"/>
  <c r="D759" i="4"/>
  <c r="E759" i="4"/>
  <c r="G759" i="4"/>
  <c r="F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G760" i="4"/>
  <c r="E760" i="4"/>
  <c r="F760" i="4"/>
  <c r="B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C761" i="4"/>
  <c r="G761" i="4"/>
  <c r="F761" i="4"/>
  <c r="B761" i="4"/>
  <c r="E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E762" i="4"/>
  <c r="C762" i="4"/>
  <c r="B762" i="4"/>
  <c r="F762" i="4"/>
  <c r="D762" i="4"/>
  <c r="G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G763" i="4"/>
  <c r="B763" i="4"/>
  <c r="F763" i="4"/>
  <c r="C763" i="4"/>
  <c r="E763" i="4"/>
  <c r="D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B764" i="4"/>
  <c r="E764" i="4"/>
  <c r="D764" i="4"/>
  <c r="F764" i="4"/>
  <c r="C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G765" i="4"/>
  <c r="E765" i="4"/>
  <c r="C765" i="4"/>
  <c r="B765" i="4"/>
  <c r="F765" i="4"/>
  <c r="D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F766" i="4"/>
  <c r="E766" i="4"/>
  <c r="D766" i="4"/>
  <c r="C766" i="4"/>
  <c r="B766" i="4"/>
  <c r="G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C767" i="4"/>
  <c r="G767" i="4"/>
  <c r="D767" i="4"/>
  <c r="E767" i="4"/>
  <c r="F767" i="4"/>
  <c r="B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F768" i="4"/>
  <c r="B768" i="4"/>
  <c r="G768" i="4"/>
  <c r="C768" i="4"/>
  <c r="E768" i="4"/>
  <c r="D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E769" i="4"/>
  <c r="D769" i="4"/>
  <c r="B769" i="4"/>
  <c r="F769" i="4"/>
  <c r="C769" i="4"/>
  <c r="G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G770" i="4"/>
  <c r="D770" i="4"/>
  <c r="F770" i="4"/>
  <c r="C770" i="4"/>
  <c r="B770" i="4"/>
  <c r="E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G771" i="4"/>
  <c r="F771" i="4"/>
  <c r="C771" i="4"/>
  <c r="B771" i="4"/>
  <c r="E771" i="4"/>
  <c r="D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G772" i="4"/>
  <c r="F772" i="4"/>
  <c r="C772" i="4"/>
  <c r="E772" i="4"/>
  <c r="B772" i="4"/>
  <c r="D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G773" i="4"/>
  <c r="F773" i="4"/>
  <c r="E773" i="4"/>
  <c r="D773" i="4"/>
  <c r="B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F774" i="4"/>
  <c r="C774" i="4"/>
  <c r="E774" i="4"/>
  <c r="B774" i="4"/>
  <c r="D774" i="4"/>
  <c r="G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E775" i="4"/>
  <c r="F775" i="4"/>
  <c r="B775" i="4"/>
  <c r="D775" i="4"/>
  <c r="C775" i="4"/>
  <c r="G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G776" i="4"/>
  <c r="E776" i="4"/>
  <c r="B776" i="4"/>
  <c r="F776" i="4"/>
  <c r="D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B777" i="4"/>
  <c r="G777" i="4"/>
  <c r="F777" i="4"/>
  <c r="E777" i="4"/>
  <c r="D777" i="4"/>
  <c r="C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B778" i="4"/>
  <c r="D778" i="4"/>
  <c r="G778" i="4"/>
  <c r="E778" i="4"/>
  <c r="F778" i="4"/>
  <c r="C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G779" i="4"/>
  <c r="E779" i="4"/>
  <c r="F779" i="4"/>
  <c r="C779" i="4"/>
  <c r="B779" i="4"/>
  <c r="D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B780" i="4"/>
  <c r="E780" i="4"/>
  <c r="D780" i="4"/>
  <c r="G780" i="4"/>
  <c r="F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F781" i="4"/>
  <c r="C781" i="4"/>
  <c r="G781" i="4"/>
  <c r="B781" i="4"/>
  <c r="E781" i="4"/>
  <c r="D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G782" i="4"/>
  <c r="F782" i="4"/>
  <c r="C782" i="4"/>
  <c r="D782" i="4"/>
  <c r="E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G783" i="4"/>
  <c r="D783" i="4"/>
  <c r="F783" i="4"/>
  <c r="B783" i="4"/>
  <c r="E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B784" i="4"/>
  <c r="D784" i="4"/>
  <c r="C784" i="4"/>
  <c r="F784" i="4"/>
  <c r="E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G785" i="4"/>
  <c r="E785" i="4"/>
  <c r="F785" i="4"/>
  <c r="B785" i="4"/>
  <c r="D785" i="4"/>
  <c r="C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G786" i="4"/>
  <c r="C786" i="4"/>
  <c r="F786" i="4"/>
  <c r="B786" i="4"/>
  <c r="D786" i="4"/>
  <c r="E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F787" i="4"/>
  <c r="B787" i="4"/>
  <c r="G787" i="4"/>
  <c r="D787" i="4"/>
  <c r="E787" i="4"/>
  <c r="C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E788" i="4"/>
  <c r="G788" i="4"/>
  <c r="C788" i="4"/>
  <c r="F788" i="4"/>
  <c r="D788" i="4"/>
  <c r="B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B789" i="4"/>
  <c r="F789" i="4"/>
  <c r="G789" i="4"/>
  <c r="C789" i="4"/>
  <c r="D789" i="4"/>
  <c r="E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G790" i="4"/>
  <c r="B790" i="4"/>
  <c r="D790" i="4"/>
  <c r="F790" i="4"/>
  <c r="C790" i="4"/>
  <c r="E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D791" i="4"/>
  <c r="E791" i="4"/>
  <c r="B791" i="4"/>
  <c r="C791" i="4"/>
  <c r="F791" i="4"/>
  <c r="G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C792" i="4"/>
  <c r="B792" i="4"/>
  <c r="F792" i="4"/>
  <c r="E792" i="4"/>
  <c r="G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G793" i="4"/>
  <c r="F793" i="4"/>
  <c r="E793" i="4"/>
  <c r="D793" i="4"/>
  <c r="B793" i="4"/>
  <c r="C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C794" i="4"/>
  <c r="B794" i="4"/>
  <c r="G794" i="4"/>
  <c r="E794" i="4"/>
  <c r="F794" i="4"/>
  <c r="D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D795" i="4"/>
  <c r="B795" i="4"/>
  <c r="E795" i="4"/>
  <c r="G795" i="4"/>
  <c r="C795" i="4"/>
  <c r="F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D796" i="4"/>
  <c r="C796" i="4"/>
  <c r="G796" i="4"/>
  <c r="B796" i="4"/>
  <c r="F796" i="4"/>
  <c r="E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G797" i="4"/>
  <c r="D797" i="4"/>
  <c r="C797" i="4"/>
  <c r="F797" i="4"/>
  <c r="B797" i="4"/>
  <c r="E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E798" i="4"/>
  <c r="G798" i="4"/>
  <c r="F798" i="4"/>
  <c r="C798" i="4"/>
  <c r="B798" i="4"/>
  <c r="D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F799" i="4"/>
  <c r="E799" i="4"/>
  <c r="C799" i="4"/>
  <c r="B799" i="4"/>
  <c r="D799" i="4"/>
  <c r="G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F800" i="4"/>
  <c r="D800" i="4"/>
  <c r="E800" i="4"/>
  <c r="B800" i="4"/>
  <c r="G800" i="4"/>
  <c r="C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B801" i="4"/>
  <c r="E801" i="4"/>
  <c r="G801" i="4"/>
  <c r="C801" i="4"/>
  <c r="F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D802" i="4"/>
  <c r="C802" i="4"/>
  <c r="G802" i="4"/>
  <c r="F802" i="4"/>
  <c r="B802" i="4"/>
  <c r="E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B803" i="4"/>
  <c r="G803" i="4"/>
  <c r="F803" i="4"/>
  <c r="E803" i="4"/>
  <c r="C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D804" i="4"/>
  <c r="C804" i="4"/>
  <c r="G804" i="4"/>
  <c r="F804" i="4"/>
  <c r="E804" i="4"/>
  <c r="B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B805" i="4"/>
  <c r="C805" i="4"/>
  <c r="E805" i="4"/>
  <c r="F805" i="4"/>
  <c r="G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D806" i="4"/>
  <c r="C806" i="4"/>
  <c r="B806" i="4"/>
  <c r="E806" i="4"/>
  <c r="F806" i="4"/>
  <c r="G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C807" i="4"/>
  <c r="D807" i="4"/>
  <c r="E807" i="4"/>
  <c r="B807" i="4"/>
  <c r="F807" i="4"/>
  <c r="G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C808" i="4"/>
  <c r="B808" i="4"/>
  <c r="F808" i="4"/>
  <c r="E808" i="4"/>
  <c r="D808" i="4"/>
  <c r="G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D809" i="4"/>
  <c r="F809" i="4"/>
  <c r="E809" i="4"/>
  <c r="C809" i="4"/>
  <c r="B809" i="4"/>
  <c r="G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F810" i="4"/>
  <c r="E810" i="4"/>
  <c r="D810" i="4"/>
  <c r="B810" i="4"/>
  <c r="C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C811" i="4"/>
  <c r="G811" i="4"/>
  <c r="D811" i="4"/>
  <c r="B811" i="4"/>
  <c r="F811" i="4"/>
  <c r="E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G812" i="4"/>
  <c r="C812" i="4"/>
  <c r="B812" i="4"/>
  <c r="E812" i="4"/>
  <c r="D812" i="4"/>
  <c r="F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B813" i="4"/>
  <c r="G813" i="4"/>
  <c r="E813" i="4"/>
  <c r="F813" i="4"/>
  <c r="D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G814" i="4"/>
  <c r="F814" i="4"/>
  <c r="B814" i="4"/>
  <c r="C814" i="4"/>
  <c r="D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D815" i="4"/>
  <c r="B815" i="4"/>
  <c r="E815" i="4"/>
  <c r="G815" i="4"/>
  <c r="F815" i="4"/>
  <c r="C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C816" i="4"/>
  <c r="E816" i="4"/>
  <c r="G816" i="4"/>
  <c r="B816" i="4"/>
  <c r="F816" i="4"/>
  <c r="D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B817" i="4"/>
  <c r="D817" i="4"/>
  <c r="G817" i="4"/>
  <c r="F817" i="4"/>
  <c r="E817" i="4"/>
  <c r="C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E818" i="4"/>
  <c r="G818" i="4"/>
  <c r="C818" i="4"/>
  <c r="F818" i="4"/>
  <c r="D818" i="4"/>
  <c r="B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B819" i="4"/>
  <c r="G819" i="4"/>
  <c r="D819" i="4"/>
  <c r="C819" i="4"/>
  <c r="F819" i="4"/>
  <c r="E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C820" i="4"/>
  <c r="D820" i="4"/>
  <c r="B820" i="4"/>
  <c r="F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C821" i="4"/>
  <c r="F821" i="4"/>
  <c r="D821" i="4"/>
  <c r="B821" i="4"/>
  <c r="G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D822" i="4"/>
  <c r="B822" i="4"/>
  <c r="C822" i="4"/>
  <c r="E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E823" i="4"/>
  <c r="D823" i="4"/>
  <c r="C823" i="4"/>
  <c r="B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D824" i="4"/>
  <c r="B824" i="4"/>
  <c r="G824" i="4"/>
  <c r="E824" i="4"/>
  <c r="F824" i="4"/>
  <c r="C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F825" i="4"/>
  <c r="E825" i="4"/>
  <c r="C825" i="4"/>
  <c r="D825" i="4"/>
  <c r="B825" i="4"/>
  <c r="G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E826" i="4"/>
  <c r="B826" i="4"/>
  <c r="C826" i="4"/>
  <c r="G826" i="4"/>
  <c r="F826" i="4"/>
  <c r="D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C827" i="4"/>
  <c r="D827" i="4"/>
  <c r="F827" i="4"/>
  <c r="B827" i="4"/>
  <c r="G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C828" i="4"/>
  <c r="F828" i="4"/>
  <c r="B828" i="4"/>
  <c r="G828" i="4"/>
  <c r="D828" i="4"/>
  <c r="E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F829" i="4"/>
  <c r="G829" i="4"/>
  <c r="B829" i="4"/>
  <c r="E829" i="4"/>
  <c r="D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G830" i="4"/>
  <c r="D830" i="4"/>
  <c r="C830" i="4"/>
  <c r="B830" i="4"/>
  <c r="F830" i="4"/>
  <c r="E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B831" i="4"/>
  <c r="C831" i="4"/>
  <c r="E831" i="4"/>
  <c r="G831" i="4"/>
  <c r="D831" i="4"/>
  <c r="F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E832" i="4"/>
  <c r="D832" i="4"/>
  <c r="G832" i="4"/>
  <c r="B832" i="4"/>
  <c r="C832" i="4"/>
  <c r="F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B833" i="4"/>
  <c r="F833" i="4"/>
  <c r="D833" i="4"/>
  <c r="C833" i="4"/>
  <c r="G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C834" i="4"/>
  <c r="D834" i="4"/>
  <c r="F834" i="4"/>
  <c r="G834" i="4"/>
  <c r="B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F835" i="4"/>
  <c r="E835" i="4"/>
  <c r="G835" i="4"/>
  <c r="D835" i="4"/>
  <c r="C835" i="4"/>
  <c r="B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C836" i="4"/>
  <c r="E836" i="4"/>
  <c r="B836" i="4"/>
  <c r="G836" i="4"/>
  <c r="F836" i="4"/>
  <c r="D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F837" i="4"/>
  <c r="B837" i="4"/>
  <c r="G837" i="4"/>
  <c r="C837" i="4"/>
  <c r="D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F838" i="4"/>
  <c r="D838" i="4"/>
  <c r="B838" i="4"/>
  <c r="C838" i="4"/>
  <c r="G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D839" i="4"/>
  <c r="B839" i="4"/>
  <c r="E839" i="4"/>
  <c r="G839" i="4"/>
  <c r="F839" i="4"/>
  <c r="C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F840" i="4"/>
  <c r="G840" i="4"/>
  <c r="D840" i="4"/>
  <c r="B840" i="4"/>
  <c r="E840" i="4"/>
  <c r="C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G841" i="4"/>
  <c r="B841" i="4"/>
  <c r="C841" i="4"/>
  <c r="E841" i="4"/>
  <c r="D841" i="4"/>
  <c r="F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D842" i="4"/>
  <c r="F842" i="4"/>
  <c r="C842" i="4"/>
  <c r="G842" i="4"/>
  <c r="B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G843" i="4"/>
  <c r="D843" i="4"/>
  <c r="E843" i="4"/>
  <c r="C843" i="4"/>
  <c r="B843" i="4"/>
  <c r="F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E844" i="4"/>
  <c r="B844" i="4"/>
  <c r="C844" i="4"/>
  <c r="F844" i="4"/>
  <c r="D844" i="4"/>
  <c r="G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D845" i="4"/>
  <c r="C845" i="4"/>
  <c r="B845" i="4"/>
  <c r="G845" i="4"/>
  <c r="E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E846" i="4"/>
  <c r="C846" i="4"/>
  <c r="B846" i="4"/>
  <c r="G846" i="4"/>
  <c r="F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B847" i="4"/>
  <c r="E847" i="4"/>
  <c r="D847" i="4"/>
  <c r="F847" i="4"/>
  <c r="G847" i="4"/>
  <c r="C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F848" i="4"/>
  <c r="G848" i="4"/>
  <c r="B848" i="4"/>
  <c r="E848" i="4"/>
  <c r="D848" i="4"/>
  <c r="C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G849" i="4"/>
  <c r="F849" i="4"/>
  <c r="B849" i="4"/>
  <c r="C849" i="4"/>
  <c r="D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E850" i="4"/>
  <c r="G850" i="4"/>
  <c r="F850" i="4"/>
  <c r="C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B851" i="4"/>
  <c r="F851" i="4"/>
  <c r="C851" i="4"/>
  <c r="D851" i="4"/>
  <c r="G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D852" i="4"/>
  <c r="C852" i="4"/>
  <c r="B852" i="4"/>
  <c r="E852" i="4"/>
  <c r="F852" i="4"/>
  <c r="G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B853" i="4"/>
  <c r="D853" i="4"/>
  <c r="E853" i="4"/>
  <c r="G853" i="4"/>
  <c r="F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B854" i="4"/>
  <c r="G854" i="4"/>
  <c r="F854" i="4"/>
  <c r="C854" i="4"/>
  <c r="E854" i="4"/>
  <c r="D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G855" i="4"/>
  <c r="B855" i="4"/>
  <c r="E855" i="4"/>
  <c r="C855" i="4"/>
  <c r="D855" i="4"/>
  <c r="F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G856" i="4"/>
  <c r="F856" i="4"/>
  <c r="D856" i="4"/>
  <c r="C856" i="4"/>
  <c r="B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G857" i="4"/>
  <c r="D857" i="4"/>
  <c r="C857" i="4"/>
  <c r="E857" i="4"/>
  <c r="B857" i="4"/>
  <c r="F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E858" i="4"/>
  <c r="D858" i="4"/>
  <c r="G858" i="4"/>
  <c r="C858" i="4"/>
  <c r="F858" i="4"/>
  <c r="B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E859" i="4"/>
  <c r="C859" i="4"/>
  <c r="G859" i="4"/>
  <c r="B859" i="4"/>
  <c r="F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F860" i="4"/>
  <c r="G860" i="4"/>
  <c r="E860" i="4"/>
  <c r="B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D861" i="4"/>
  <c r="C861" i="4"/>
  <c r="B861" i="4"/>
  <c r="F861" i="4"/>
  <c r="E861" i="4"/>
  <c r="G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G862" i="4"/>
  <c r="B862" i="4"/>
  <c r="C862" i="4"/>
  <c r="F862" i="4"/>
  <c r="E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B863" i="4"/>
  <c r="G863" i="4"/>
  <c r="F863" i="4"/>
  <c r="E863" i="4"/>
  <c r="C863" i="4"/>
  <c r="D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D864" i="4"/>
  <c r="G864" i="4"/>
  <c r="B864" i="4"/>
  <c r="F864" i="4"/>
  <c r="E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B865" i="4"/>
  <c r="F865" i="4"/>
  <c r="G865" i="4"/>
  <c r="D865" i="4"/>
  <c r="C865" i="4"/>
  <c r="E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G866" i="4"/>
  <c r="D866" i="4"/>
  <c r="C866" i="4"/>
  <c r="F866" i="4"/>
  <c r="B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D867" i="4"/>
  <c r="F867" i="4"/>
  <c r="G867" i="4"/>
  <c r="B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E868" i="4"/>
  <c r="G868" i="4"/>
  <c r="F868" i="4"/>
  <c r="B868" i="4"/>
  <c r="C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C869" i="4"/>
  <c r="E869" i="4"/>
  <c r="G869" i="4"/>
  <c r="D869" i="4"/>
  <c r="F869" i="4"/>
  <c r="B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F870" i="4"/>
  <c r="E870" i="4"/>
  <c r="C870" i="4"/>
  <c r="D870" i="4"/>
  <c r="G870" i="4"/>
  <c r="B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B871" i="4"/>
  <c r="G871" i="4"/>
  <c r="E871" i="4"/>
  <c r="F871" i="4"/>
  <c r="C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E872" i="4"/>
  <c r="F872" i="4"/>
  <c r="C872" i="4"/>
  <c r="B872" i="4"/>
  <c r="G872" i="4"/>
  <c r="D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D873" i="4"/>
  <c r="G873" i="4"/>
  <c r="E873" i="4"/>
  <c r="C873" i="4"/>
  <c r="B873" i="4"/>
  <c r="F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C874" i="4"/>
  <c r="E874" i="4"/>
  <c r="B874" i="4"/>
  <c r="F874" i="4"/>
  <c r="D874" i="4"/>
  <c r="G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E875" i="4"/>
  <c r="B875" i="4"/>
  <c r="D875" i="4"/>
  <c r="C875" i="4"/>
  <c r="F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B876" i="4"/>
  <c r="D876" i="4"/>
  <c r="C876" i="4"/>
  <c r="F876" i="4"/>
  <c r="G876" i="4"/>
  <c r="E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F877" i="4"/>
  <c r="G877" i="4"/>
  <c r="B877" i="4"/>
  <c r="C877" i="4"/>
  <c r="E877" i="4"/>
  <c r="D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C878" i="4"/>
  <c r="B878" i="4"/>
  <c r="D878" i="4"/>
  <c r="G878" i="4"/>
  <c r="E878" i="4"/>
  <c r="F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F879" i="4"/>
  <c r="D879" i="4"/>
  <c r="C879" i="4"/>
  <c r="E879" i="4"/>
  <c r="B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B880" i="4"/>
  <c r="C880" i="4"/>
  <c r="G880" i="4"/>
  <c r="D880" i="4"/>
  <c r="F880" i="4"/>
  <c r="E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D881" i="4"/>
  <c r="F881" i="4"/>
  <c r="G881" i="4"/>
  <c r="E881" i="4"/>
  <c r="B881" i="4"/>
  <c r="C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F882" i="4"/>
  <c r="G882" i="4"/>
  <c r="C882" i="4"/>
  <c r="E882" i="4"/>
  <c r="B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B883" i="4"/>
  <c r="F883" i="4"/>
  <c r="C883" i="4"/>
  <c r="D883" i="4"/>
  <c r="G883" i="4"/>
  <c r="E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D884" i="4"/>
  <c r="E884" i="4"/>
  <c r="G884" i="4"/>
  <c r="F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E885" i="4"/>
  <c r="G885" i="4"/>
  <c r="D885" i="4"/>
  <c r="F885" i="4"/>
  <c r="B885" i="4"/>
  <c r="C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G886" i="4"/>
  <c r="D886" i="4"/>
  <c r="B886" i="4"/>
  <c r="C886" i="4"/>
  <c r="E886" i="4"/>
  <c r="F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C887" i="4"/>
  <c r="F887" i="4"/>
  <c r="D887" i="4"/>
  <c r="G887" i="4"/>
  <c r="B887" i="4"/>
  <c r="E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C888" i="4"/>
  <c r="B888" i="4"/>
  <c r="E888" i="4"/>
  <c r="F888" i="4"/>
  <c r="G888" i="4"/>
  <c r="D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F889" i="4"/>
  <c r="C889" i="4"/>
  <c r="B889" i="4"/>
  <c r="G889" i="4"/>
  <c r="E889" i="4"/>
  <c r="D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C890" i="4"/>
  <c r="D890" i="4"/>
  <c r="E890" i="4"/>
  <c r="B890" i="4"/>
  <c r="F890" i="4"/>
  <c r="G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G891" i="4"/>
  <c r="B891" i="4"/>
  <c r="D891" i="4"/>
  <c r="E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D892" i="4"/>
  <c r="B892" i="4"/>
  <c r="C892" i="4"/>
  <c r="F892" i="4"/>
  <c r="E892" i="4"/>
  <c r="G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G893" i="4"/>
  <c r="E893" i="4"/>
  <c r="C893" i="4"/>
  <c r="F893" i="4"/>
  <c r="B893" i="4"/>
  <c r="D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B894" i="4"/>
  <c r="G894" i="4"/>
  <c r="E894" i="4"/>
  <c r="C894" i="4"/>
  <c r="D894" i="4"/>
  <c r="F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F895" i="4"/>
  <c r="D895" i="4"/>
  <c r="C895" i="4"/>
  <c r="E895" i="4"/>
  <c r="G895" i="4"/>
  <c r="B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G896" i="4"/>
  <c r="C896" i="4"/>
  <c r="E896" i="4"/>
  <c r="B896" i="4"/>
  <c r="F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G897" i="4"/>
  <c r="E897" i="4"/>
  <c r="F897" i="4"/>
  <c r="D897" i="4"/>
  <c r="C897" i="4"/>
  <c r="B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D898" i="4"/>
  <c r="B898" i="4"/>
  <c r="C898" i="4"/>
  <c r="F898" i="4"/>
  <c r="E898" i="4"/>
  <c r="G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F899" i="4"/>
  <c r="B899" i="4"/>
  <c r="D899" i="4"/>
  <c r="G899" i="4"/>
  <c r="E899" i="4"/>
  <c r="C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D900" i="4"/>
  <c r="G900" i="4"/>
  <c r="C900" i="4"/>
  <c r="B900" i="4"/>
  <c r="F900" i="4"/>
  <c r="E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G901" i="4"/>
  <c r="F901" i="4"/>
  <c r="D901" i="4"/>
  <c r="C901" i="4"/>
  <c r="E901" i="4"/>
  <c r="B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B902" i="4"/>
  <c r="C902" i="4"/>
  <c r="G902" i="4"/>
  <c r="D902" i="4"/>
  <c r="E902" i="4"/>
  <c r="F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B903" i="4"/>
  <c r="D903" i="4"/>
  <c r="C903" i="4"/>
  <c r="G903" i="4"/>
  <c r="F903" i="4"/>
  <c r="E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C904" i="4"/>
  <c r="E904" i="4"/>
  <c r="D904" i="4"/>
  <c r="G904" i="4"/>
  <c r="F904" i="4"/>
  <c r="B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G905" i="4"/>
  <c r="F905" i="4"/>
  <c r="C905" i="4"/>
  <c r="E905" i="4"/>
  <c r="B905" i="4"/>
  <c r="D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E906" i="4"/>
  <c r="C906" i="4"/>
  <c r="G906" i="4"/>
  <c r="F906" i="4"/>
  <c r="D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C907" i="4"/>
  <c r="D907" i="4"/>
  <c r="G907" i="4"/>
  <c r="E907" i="4"/>
  <c r="B907" i="4"/>
  <c r="F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E908" i="4"/>
  <c r="C908" i="4"/>
  <c r="D908" i="4"/>
  <c r="B908" i="4"/>
  <c r="G908" i="4"/>
  <c r="F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B909" i="4"/>
  <c r="C909" i="4"/>
  <c r="D909" i="4"/>
  <c r="F909" i="4"/>
  <c r="G909" i="4"/>
  <c r="E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E910" i="4"/>
  <c r="F910" i="4"/>
  <c r="C910" i="4"/>
  <c r="B910" i="4"/>
  <c r="G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E911" i="4"/>
  <c r="C911" i="4"/>
  <c r="D911" i="4"/>
  <c r="B911" i="4"/>
  <c r="F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G912" i="4"/>
  <c r="D912" i="4"/>
  <c r="E912" i="4"/>
  <c r="C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E913" i="4"/>
  <c r="D913" i="4"/>
  <c r="C913" i="4"/>
  <c r="B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E914" i="4"/>
  <c r="C914" i="4"/>
  <c r="G914" i="4"/>
  <c r="D914" i="4"/>
  <c r="B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G915" i="4"/>
  <c r="D915" i="4"/>
  <c r="C915" i="4"/>
  <c r="F915" i="4"/>
  <c r="E915" i="4"/>
  <c r="B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G916" i="4"/>
  <c r="E916" i="4"/>
  <c r="D916" i="4"/>
  <c r="C916" i="4"/>
  <c r="B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F917" i="4"/>
  <c r="E917" i="4"/>
  <c r="D917" i="4"/>
  <c r="G917" i="4"/>
  <c r="B917" i="4"/>
  <c r="C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E918" i="4"/>
  <c r="G918" i="4"/>
  <c r="F918" i="4"/>
  <c r="B918" i="4"/>
  <c r="C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F919" i="4"/>
  <c r="D919" i="4"/>
  <c r="E919" i="4"/>
  <c r="G919" i="4"/>
  <c r="B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D920" i="4"/>
  <c r="E920" i="4"/>
  <c r="F920" i="4"/>
  <c r="G920" i="4"/>
  <c r="C920" i="4"/>
  <c r="B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C921" i="4"/>
  <c r="D921" i="4"/>
  <c r="E921" i="4"/>
  <c r="B921" i="4"/>
  <c r="F921" i="4"/>
  <c r="G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F922" i="4"/>
  <c r="B922" i="4"/>
  <c r="G922" i="4"/>
  <c r="C922" i="4"/>
  <c r="E922" i="4"/>
  <c r="D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E923" i="4"/>
  <c r="D923" i="4"/>
  <c r="C923" i="4"/>
  <c r="G923" i="4"/>
  <c r="F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B924" i="4"/>
  <c r="D924" i="4"/>
  <c r="G924" i="4"/>
  <c r="C924" i="4"/>
  <c r="F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F925" i="4"/>
  <c r="G925" i="4"/>
  <c r="D925" i="4"/>
  <c r="C925" i="4"/>
  <c r="E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D926" i="4"/>
  <c r="G926" i="4"/>
  <c r="E926" i="4"/>
  <c r="F926" i="4"/>
  <c r="C926" i="4"/>
  <c r="B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D927" i="4"/>
  <c r="B927" i="4"/>
  <c r="F927" i="4"/>
  <c r="G927" i="4"/>
  <c r="E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D928" i="4"/>
  <c r="C928" i="4"/>
  <c r="F928" i="4"/>
  <c r="G928" i="4"/>
  <c r="E928" i="4"/>
  <c r="B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B929" i="4"/>
  <c r="D929" i="4"/>
  <c r="E929" i="4"/>
  <c r="F929" i="4"/>
  <c r="C929" i="4"/>
  <c r="G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F930" i="4"/>
  <c r="G930" i="4"/>
  <c r="B930" i="4"/>
  <c r="E930" i="4"/>
  <c r="D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B931" i="4"/>
  <c r="D931" i="4"/>
  <c r="C931" i="4"/>
  <c r="E931" i="4"/>
  <c r="F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C932" i="4"/>
  <c r="D932" i="4"/>
  <c r="E932" i="4"/>
  <c r="F932" i="4"/>
  <c r="G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E933" i="4"/>
  <c r="D933" i="4"/>
  <c r="B933" i="4"/>
  <c r="F933" i="4"/>
  <c r="C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F934" i="4"/>
  <c r="D934" i="4"/>
  <c r="G934" i="4"/>
  <c r="C934" i="4"/>
  <c r="E934" i="4"/>
  <c r="B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F935" i="4"/>
  <c r="B935" i="4"/>
  <c r="G935" i="4"/>
  <c r="E935" i="4"/>
  <c r="D935" i="4"/>
  <c r="C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E936" i="4"/>
  <c r="B936" i="4"/>
  <c r="G936" i="4"/>
  <c r="D936" i="4"/>
  <c r="C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C937" i="4"/>
  <c r="E937" i="4"/>
  <c r="F937" i="4"/>
  <c r="D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G938" i="4"/>
  <c r="D938" i="4"/>
  <c r="C938" i="4"/>
  <c r="B938" i="4"/>
  <c r="F938" i="4"/>
  <c r="E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B939" i="4"/>
  <c r="D939" i="4"/>
  <c r="F939" i="4"/>
  <c r="E939" i="4"/>
  <c r="C939" i="4"/>
  <c r="G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F940" i="4"/>
  <c r="B940" i="4"/>
  <c r="E940" i="4"/>
  <c r="C940" i="4"/>
  <c r="D940" i="4"/>
  <c r="G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F941" i="4"/>
  <c r="B941" i="4"/>
  <c r="G941" i="4"/>
  <c r="C941" i="4"/>
  <c r="D941" i="4"/>
  <c r="E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B942" i="4"/>
  <c r="F942" i="4"/>
  <c r="G942" i="4"/>
  <c r="C942" i="4"/>
  <c r="D942" i="4"/>
  <c r="E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E943" i="4"/>
  <c r="F943" i="4"/>
  <c r="C943" i="4"/>
  <c r="B943" i="4"/>
  <c r="G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C944" i="4"/>
  <c r="F944" i="4"/>
  <c r="D944" i="4"/>
  <c r="E944" i="4"/>
  <c r="B944" i="4"/>
  <c r="G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B945" i="4"/>
  <c r="E945" i="4"/>
  <c r="D945" i="4"/>
  <c r="G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E946" i="4"/>
  <c r="C946" i="4"/>
  <c r="G946" i="4"/>
  <c r="B946" i="4"/>
  <c r="F946" i="4"/>
  <c r="D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D947" i="4"/>
  <c r="E947" i="4"/>
  <c r="F947" i="4"/>
  <c r="G947" i="4"/>
  <c r="B947" i="4"/>
  <c r="C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B948" i="4"/>
  <c r="E948" i="4"/>
  <c r="D948" i="4"/>
  <c r="F948" i="4"/>
  <c r="C948" i="4"/>
  <c r="G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G949" i="4"/>
  <c r="C949" i="4"/>
  <c r="B949" i="4"/>
  <c r="D949" i="4"/>
  <c r="E949" i="4"/>
  <c r="F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D950" i="4"/>
  <c r="B950" i="4"/>
  <c r="G950" i="4"/>
  <c r="C950" i="4"/>
  <c r="E950" i="4"/>
  <c r="F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B951" i="4"/>
  <c r="F951" i="4"/>
  <c r="D951" i="4"/>
  <c r="G951" i="4"/>
  <c r="E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D952" i="4"/>
  <c r="C952" i="4"/>
  <c r="E952" i="4"/>
  <c r="G952" i="4"/>
  <c r="F952" i="4"/>
  <c r="B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C953" i="4"/>
  <c r="G953" i="4"/>
  <c r="B953" i="4"/>
  <c r="D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D954" i="4"/>
  <c r="G954" i="4"/>
  <c r="C954" i="4"/>
  <c r="F954" i="4"/>
  <c r="E954" i="4"/>
  <c r="B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D955" i="4"/>
  <c r="G955" i="4"/>
  <c r="C955" i="4"/>
  <c r="E955" i="4"/>
  <c r="B955" i="4"/>
  <c r="F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F956" i="4"/>
  <c r="D956" i="4"/>
  <c r="B956" i="4"/>
  <c r="C956" i="4"/>
  <c r="E956" i="4"/>
  <c r="G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B957" i="4"/>
  <c r="F957" i="4"/>
  <c r="E957" i="4"/>
  <c r="D957" i="4"/>
  <c r="G957" i="4"/>
  <c r="C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F958" i="4"/>
  <c r="C958" i="4"/>
  <c r="E958" i="4"/>
  <c r="G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G959" i="4"/>
  <c r="D959" i="4"/>
  <c r="B959" i="4"/>
  <c r="F959" i="4"/>
  <c r="C959" i="4"/>
  <c r="E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C960" i="4"/>
  <c r="D960" i="4"/>
  <c r="E960" i="4"/>
  <c r="G960" i="4"/>
  <c r="B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C961" i="4"/>
  <c r="G961" i="4"/>
  <c r="F961" i="4"/>
  <c r="D961" i="4"/>
  <c r="B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F962" i="4"/>
  <c r="B962" i="4"/>
  <c r="C962" i="4"/>
  <c r="D962" i="4"/>
  <c r="E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E963" i="4"/>
  <c r="F963" i="4"/>
  <c r="B963" i="4"/>
  <c r="D963" i="4"/>
  <c r="C963" i="4"/>
  <c r="G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F964" i="4"/>
  <c r="B964" i="4"/>
  <c r="D964" i="4"/>
  <c r="E964" i="4"/>
  <c r="C964" i="4"/>
  <c r="G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D965" i="4"/>
  <c r="B965" i="4"/>
  <c r="C965" i="4"/>
  <c r="G965" i="4"/>
  <c r="E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E966" i="4"/>
  <c r="C966" i="4"/>
  <c r="D966" i="4"/>
  <c r="B966" i="4"/>
  <c r="F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B967" i="4"/>
  <c r="E967" i="4"/>
  <c r="D967" i="4"/>
  <c r="F967" i="4"/>
  <c r="G967" i="4"/>
  <c r="C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E968" i="4"/>
  <c r="B968" i="4"/>
  <c r="D968" i="4"/>
  <c r="C968" i="4"/>
  <c r="G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C969" i="4"/>
  <c r="G969" i="4"/>
  <c r="E969" i="4"/>
  <c r="D969" i="4"/>
  <c r="B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G970" i="4"/>
  <c r="D970" i="4"/>
  <c r="C970" i="4"/>
  <c r="F970" i="4"/>
  <c r="B970" i="4"/>
  <c r="B969" i="6" l="1"/>
  <c r="C969" i="6" s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F966" i="8"/>
  <c r="E966" i="8"/>
  <c r="G966" i="8" s="1"/>
  <c r="I970" i="4"/>
  <c r="H970" i="4"/>
  <c r="A970" i="6"/>
  <c r="A971" i="8" s="1"/>
  <c r="B971" i="4"/>
  <c r="G971" i="4"/>
  <c r="C971" i="4"/>
  <c r="F971" i="4"/>
  <c r="D971" i="4"/>
  <c r="E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F972" i="4"/>
  <c r="G972" i="4"/>
  <c r="D972" i="4"/>
  <c r="E972" i="4"/>
  <c r="B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B973" i="4"/>
  <c r="E973" i="4"/>
  <c r="D973" i="4"/>
  <c r="F973" i="4"/>
  <c r="C973" i="4"/>
  <c r="G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F974" i="4"/>
  <c r="C974" i="4"/>
  <c r="E974" i="4"/>
  <c r="G974" i="4"/>
  <c r="B974" i="4"/>
  <c r="D974" i="4"/>
  <c r="E970" i="8" l="1"/>
  <c r="G970" i="8" s="1"/>
  <c r="B973" i="6"/>
  <c r="C973" i="6" s="1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I974" i="4"/>
  <c r="H974" i="4"/>
  <c r="A974" i="6"/>
  <c r="A975" i="8" s="1"/>
  <c r="C975" i="4"/>
  <c r="G975" i="4"/>
  <c r="F975" i="4"/>
  <c r="D975" i="4"/>
  <c r="B975" i="4"/>
  <c r="E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G976" i="4"/>
  <c r="F976" i="4"/>
  <c r="B976" i="4"/>
  <c r="E976" i="4"/>
  <c r="C976" i="4"/>
  <c r="D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E977" i="4"/>
  <c r="F977" i="4"/>
  <c r="C977" i="4"/>
  <c r="B977" i="4"/>
  <c r="D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B978" i="4"/>
  <c r="E978" i="4"/>
  <c r="C978" i="4"/>
  <c r="D978" i="4"/>
  <c r="F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G979" i="4"/>
  <c r="B979" i="4"/>
  <c r="E979" i="4"/>
  <c r="C979" i="4"/>
  <c r="D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G980" i="4"/>
  <c r="F980" i="4"/>
  <c r="E980" i="4"/>
  <c r="D980" i="4"/>
  <c r="B980" i="4"/>
  <c r="C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F981" i="4"/>
  <c r="D981" i="4"/>
  <c r="G981" i="4"/>
  <c r="E981" i="4"/>
  <c r="B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B982" i="4"/>
  <c r="F982" i="4"/>
  <c r="D982" i="4"/>
  <c r="G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D983" i="4"/>
  <c r="C983" i="4"/>
  <c r="B983" i="4"/>
  <c r="F983" i="4"/>
  <c r="G983" i="4"/>
  <c r="E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C984" i="4"/>
  <c r="B984" i="4"/>
  <c r="G984" i="4"/>
  <c r="E984" i="4"/>
  <c r="D984" i="4"/>
  <c r="F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C985" i="4"/>
  <c r="B985" i="4"/>
  <c r="G985" i="4"/>
  <c r="F985" i="4"/>
  <c r="E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C986" i="4"/>
  <c r="E986" i="4"/>
  <c r="D986" i="4"/>
  <c r="B986" i="4"/>
  <c r="G986" i="4"/>
  <c r="F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C987" i="4"/>
  <c r="F987" i="4"/>
  <c r="G987" i="4"/>
  <c r="E987" i="4"/>
  <c r="D987" i="4"/>
  <c r="B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D988" i="4"/>
  <c r="B988" i="4"/>
  <c r="G988" i="4"/>
  <c r="C988" i="4"/>
  <c r="E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D989" i="4"/>
  <c r="F989" i="4"/>
  <c r="B989" i="4"/>
  <c r="G989" i="4"/>
  <c r="E989" i="4"/>
  <c r="C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F990" i="4"/>
  <c r="B990" i="4"/>
  <c r="C990" i="4"/>
  <c r="E990" i="4"/>
  <c r="G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D991" i="4"/>
  <c r="E991" i="4"/>
  <c r="C991" i="4"/>
  <c r="B991" i="4"/>
  <c r="G991" i="4"/>
  <c r="F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F992" i="4"/>
  <c r="B992" i="4"/>
  <c r="C992" i="4"/>
  <c r="G992" i="4"/>
  <c r="E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D993" i="4"/>
  <c r="G993" i="4"/>
  <c r="C993" i="4"/>
  <c r="F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G994" i="4"/>
  <c r="E994" i="4"/>
  <c r="D994" i="4"/>
  <c r="C994" i="4"/>
  <c r="B994" i="4"/>
  <c r="F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C995" i="4"/>
  <c r="B995" i="4"/>
  <c r="D995" i="4"/>
  <c r="E995" i="4"/>
  <c r="G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G996" i="4"/>
  <c r="C996" i="4"/>
  <c r="D996" i="4"/>
  <c r="B996" i="4"/>
  <c r="E996" i="4"/>
  <c r="F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F997" i="4"/>
  <c r="D997" i="4"/>
  <c r="G997" i="4"/>
  <c r="C997" i="4"/>
  <c r="E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C998" i="4"/>
  <c r="D998" i="4"/>
  <c r="G998" i="4"/>
  <c r="E998" i="4"/>
  <c r="F998" i="4"/>
  <c r="B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D999" i="4"/>
  <c r="F999" i="4"/>
  <c r="G999" i="4"/>
  <c r="B999" i="4"/>
  <c r="E999" i="4"/>
  <c r="C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G1000" i="4"/>
  <c r="F1000" i="4"/>
  <c r="D1000" i="4"/>
  <c r="B1000" i="4"/>
  <c r="E1000" i="4"/>
  <c r="C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F1001" i="4"/>
  <c r="C1001" i="4"/>
  <c r="B1001" i="4"/>
  <c r="G1001" i="4"/>
  <c r="E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F1002" i="4"/>
  <c r="E1002" i="4"/>
  <c r="D1002" i="4"/>
  <c r="G1002" i="4"/>
  <c r="C1002" i="4"/>
  <c r="B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C1003" i="4"/>
  <c r="G1003" i="4"/>
  <c r="B1003" i="4"/>
  <c r="E1003" i="4"/>
  <c r="D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E1004" i="4"/>
  <c r="D1004" i="4"/>
  <c r="B1004" i="4"/>
  <c r="C1004" i="4"/>
  <c r="F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C1005" i="4"/>
  <c r="F1005" i="4"/>
  <c r="E1005" i="4"/>
  <c r="G1005" i="4"/>
  <c r="D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E1006" i="4"/>
  <c r="D1006" i="4"/>
  <c r="F1006" i="4"/>
  <c r="B1006" i="4"/>
  <c r="G1006" i="4"/>
  <c r="C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B1007" i="4"/>
  <c r="D1007" i="4"/>
  <c r="F1007" i="4"/>
  <c r="C1007" i="4"/>
  <c r="E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C1008" i="4"/>
  <c r="E1008" i="4"/>
  <c r="F1008" i="4"/>
  <c r="D1008" i="4"/>
  <c r="B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E1009" i="4"/>
  <c r="B1009" i="4"/>
  <c r="C1009" i="4"/>
  <c r="D1009" i="4"/>
  <c r="G1009" i="4"/>
  <c r="F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G1010" i="4"/>
  <c r="C1010" i="4"/>
  <c r="D1010" i="4"/>
  <c r="B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G1011" i="4"/>
  <c r="D1011" i="4"/>
  <c r="B1011" i="4"/>
  <c r="E1011" i="4"/>
  <c r="F1011" i="4"/>
  <c r="C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B1012" i="4"/>
  <c r="F1012" i="4"/>
  <c r="C1012" i="4"/>
  <c r="D1012" i="4"/>
  <c r="E1012" i="4"/>
  <c r="G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B1013" i="4"/>
  <c r="E1013" i="4"/>
  <c r="G1013" i="4"/>
  <c r="D1013" i="4"/>
  <c r="C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F1014" i="4"/>
  <c r="D1014" i="4"/>
  <c r="E1014" i="4"/>
  <c r="G1014" i="4"/>
  <c r="B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G1015" i="4"/>
  <c r="B1015" i="4"/>
  <c r="F1015" i="4"/>
  <c r="C1015" i="4"/>
  <c r="D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F1016" i="4"/>
  <c r="D1016" i="4"/>
  <c r="G1016" i="4"/>
  <c r="B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B1017" i="4"/>
  <c r="F1017" i="4"/>
  <c r="D1017" i="4"/>
  <c r="G1017" i="4"/>
  <c r="E1017" i="4"/>
  <c r="C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C1018" i="4"/>
  <c r="D1018" i="4"/>
  <c r="G1018" i="4"/>
  <c r="B1018" i="4"/>
  <c r="F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D1019" i="4"/>
  <c r="E1019" i="4"/>
  <c r="C1019" i="4"/>
  <c r="B1019" i="4"/>
  <c r="F1019" i="4"/>
  <c r="G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E1020" i="4"/>
  <c r="G1020" i="4"/>
  <c r="D1020" i="4"/>
  <c r="B1020" i="4"/>
  <c r="C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D1021" i="4"/>
  <c r="G1021" i="4"/>
  <c r="C1021" i="4"/>
  <c r="B1021" i="4"/>
  <c r="E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C1022" i="4"/>
  <c r="F1022" i="4"/>
  <c r="B1022" i="4"/>
  <c r="E1022" i="4"/>
  <c r="D1022" i="4"/>
  <c r="G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F1023" i="4"/>
  <c r="B1023" i="4"/>
  <c r="G1023" i="4"/>
  <c r="E1023" i="4"/>
  <c r="C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D1024" i="4"/>
  <c r="E1024" i="4"/>
  <c r="C1024" i="4"/>
  <c r="F1024" i="4"/>
  <c r="B1024" i="4"/>
  <c r="G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F1025" i="4"/>
  <c r="B1025" i="4"/>
  <c r="E1025" i="4"/>
  <c r="C1025" i="4"/>
  <c r="G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G1026" i="4"/>
  <c r="B1026" i="4"/>
  <c r="F1026" i="4"/>
  <c r="E1026" i="4"/>
  <c r="C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G1027" i="4"/>
  <c r="C1027" i="4"/>
  <c r="B1027" i="4"/>
  <c r="E1027" i="4"/>
  <c r="D1027" i="4"/>
  <c r="F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D1028" i="4"/>
  <c r="C1028" i="4"/>
  <c r="G1028" i="4"/>
  <c r="B1028" i="4"/>
  <c r="F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B1029" i="4"/>
  <c r="D1029" i="4"/>
  <c r="G1029" i="4"/>
  <c r="F1029" i="4"/>
  <c r="E1029" i="4"/>
  <c r="C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G1030" i="4"/>
  <c r="C1030" i="4"/>
  <c r="E1030" i="4"/>
  <c r="D1030" i="4"/>
  <c r="B1030" i="4"/>
  <c r="F1030" i="4"/>
  <c r="B1029" i="6" l="1"/>
  <c r="C1029" i="6" s="1"/>
  <c r="D1029" i="6" s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H1030" i="4"/>
  <c r="I1030" i="4"/>
  <c r="A1030" i="6"/>
  <c r="A1031" i="8" s="1"/>
  <c r="D1031" i="4"/>
  <c r="F1031" i="4"/>
  <c r="C1031" i="4"/>
  <c r="E1031" i="4"/>
  <c r="B1031" i="4"/>
  <c r="G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E1032" i="4"/>
  <c r="F1032" i="4"/>
  <c r="C1032" i="4"/>
  <c r="G1032" i="4"/>
  <c r="B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C1033" i="4"/>
  <c r="D1033" i="4"/>
  <c r="G1033" i="4"/>
  <c r="E1033" i="4"/>
  <c r="F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G1034" i="4"/>
  <c r="C1034" i="4"/>
  <c r="D1034" i="4"/>
  <c r="B1034" i="4"/>
  <c r="E1034" i="4"/>
  <c r="F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D1035" i="4"/>
  <c r="G1035" i="4"/>
  <c r="C1035" i="4"/>
  <c r="F1035" i="4"/>
  <c r="B1035" i="4"/>
  <c r="E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B1036" i="4"/>
  <c r="G1036" i="4"/>
  <c r="E1036" i="4"/>
  <c r="F1036" i="4"/>
  <c r="D1036" i="4"/>
  <c r="C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G1037" i="4"/>
  <c r="E1037" i="4"/>
  <c r="F1037" i="4"/>
  <c r="C1037" i="4"/>
  <c r="B1037" i="4"/>
  <c r="D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F1038" i="4"/>
  <c r="D1038" i="4"/>
  <c r="B1038" i="4"/>
  <c r="C1038" i="4"/>
  <c r="E1038" i="4"/>
  <c r="G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B1039" i="4"/>
  <c r="E1039" i="4"/>
  <c r="D1039" i="4"/>
  <c r="F1039" i="4"/>
  <c r="G1039" i="4"/>
  <c r="C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G1040" i="4"/>
  <c r="E1040" i="4"/>
  <c r="C1040" i="4"/>
  <c r="D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E1041" i="4"/>
  <c r="G1041" i="4"/>
  <c r="C1041" i="4"/>
  <c r="D1041" i="4"/>
  <c r="F1041" i="4"/>
  <c r="B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D1042" i="4"/>
  <c r="G1042" i="4"/>
  <c r="C1042" i="4"/>
  <c r="E1042" i="4"/>
  <c r="F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E1043" i="4"/>
  <c r="F1043" i="4"/>
  <c r="D1043" i="4"/>
  <c r="G1043" i="4"/>
  <c r="C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E1044" i="4"/>
  <c r="F1044" i="4"/>
  <c r="G1044" i="4"/>
  <c r="B1044" i="4"/>
  <c r="D1044" i="4"/>
  <c r="C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B1045" i="4"/>
  <c r="F1045" i="4"/>
  <c r="C1045" i="4"/>
  <c r="G1045" i="4"/>
  <c r="D1045" i="4"/>
  <c r="E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F1046" i="4"/>
  <c r="D1046" i="4"/>
  <c r="G1046" i="4"/>
  <c r="C1046" i="4"/>
  <c r="E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E1047" i="4"/>
  <c r="G1047" i="4"/>
  <c r="C1047" i="4"/>
  <c r="B1047" i="4"/>
  <c r="F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F1048" i="4"/>
  <c r="G1048" i="4"/>
  <c r="D1048" i="4"/>
  <c r="E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D1049" i="4"/>
  <c r="G1049" i="4"/>
  <c r="E1049" i="4"/>
  <c r="B1049" i="4"/>
  <c r="F1049" i="4"/>
  <c r="C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C1050" i="4"/>
  <c r="D1050" i="4"/>
  <c r="B1050" i="4"/>
  <c r="F1050" i="4"/>
  <c r="E1050" i="4"/>
  <c r="G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B1051" i="4"/>
  <c r="E1051" i="4"/>
  <c r="F1051" i="4"/>
  <c r="G1051" i="4"/>
  <c r="C1051" i="4"/>
  <c r="D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D1052" i="4"/>
  <c r="E1052" i="4"/>
  <c r="G1052" i="4"/>
  <c r="B1052" i="4"/>
  <c r="F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F1053" i="4"/>
  <c r="E1053" i="4"/>
  <c r="B1053" i="4"/>
  <c r="D1053" i="4"/>
  <c r="C1053" i="4"/>
  <c r="G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B1054" i="4"/>
  <c r="F1054" i="4"/>
  <c r="C1054" i="4"/>
  <c r="G1054" i="4"/>
  <c r="D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F1055" i="4"/>
  <c r="B1055" i="4"/>
  <c r="D1055" i="4"/>
  <c r="C1055" i="4"/>
  <c r="E1055" i="4"/>
  <c r="G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B1056" i="4"/>
  <c r="F1056" i="4"/>
  <c r="G1056" i="4"/>
  <c r="E1056" i="4"/>
  <c r="C1056" i="4"/>
  <c r="D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B1057" i="4"/>
  <c r="F1057" i="4"/>
  <c r="G1057" i="4"/>
  <c r="D1057" i="4"/>
  <c r="C1057" i="4"/>
  <c r="E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C1058" i="4"/>
  <c r="B1058" i="4"/>
  <c r="G1058" i="4"/>
  <c r="F1058" i="4"/>
  <c r="E1058" i="4"/>
  <c r="D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D1059" i="4"/>
  <c r="F1059" i="4"/>
  <c r="E1059" i="4"/>
  <c r="B1059" i="4"/>
  <c r="C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E1060" i="4"/>
  <c r="D1060" i="4"/>
  <c r="C1060" i="4"/>
  <c r="F1060" i="4"/>
  <c r="B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C1061" i="4"/>
  <c r="B1061" i="4"/>
  <c r="E1061" i="4"/>
  <c r="D1061" i="4"/>
  <c r="G1061" i="4"/>
  <c r="F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D1062" i="4"/>
  <c r="C1062" i="4"/>
  <c r="G1062" i="4"/>
  <c r="F1062" i="4"/>
  <c r="B1062" i="4"/>
  <c r="E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F1063" i="4"/>
  <c r="E1063" i="4"/>
  <c r="D1063" i="4"/>
  <c r="G1063" i="4"/>
  <c r="C1063" i="4"/>
  <c r="B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G1064" i="4"/>
  <c r="F1064" i="4"/>
  <c r="D1064" i="4"/>
  <c r="E1064" i="4"/>
  <c r="B1064" i="4"/>
  <c r="C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C1065" i="4"/>
  <c r="D1065" i="4"/>
  <c r="G1065" i="4"/>
  <c r="B1065" i="4"/>
  <c r="F1065" i="4"/>
  <c r="E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B1066" i="4"/>
  <c r="G1066" i="4"/>
  <c r="C1066" i="4"/>
  <c r="E1066" i="4"/>
  <c r="D1066" i="4"/>
  <c r="F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C1067" i="4"/>
  <c r="F1067" i="4"/>
  <c r="D1067" i="4"/>
  <c r="G1067" i="4"/>
  <c r="B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E1068" i="4"/>
  <c r="D1068" i="4"/>
  <c r="B1068" i="4"/>
  <c r="G1068" i="4"/>
  <c r="F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B1069" i="4"/>
  <c r="F1069" i="4"/>
  <c r="D1069" i="4"/>
  <c r="E1069" i="4"/>
  <c r="G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C1070" i="4"/>
  <c r="F1070" i="4"/>
  <c r="E1070" i="4"/>
  <c r="G1070" i="4"/>
  <c r="D1070" i="4"/>
  <c r="B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B1071" i="4"/>
  <c r="E1071" i="4"/>
  <c r="G1071" i="4"/>
  <c r="F1071" i="4"/>
  <c r="C1071" i="4"/>
  <c r="D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E1072" i="4"/>
  <c r="B1072" i="4"/>
  <c r="F1072" i="4"/>
  <c r="D1072" i="4"/>
  <c r="G1072" i="4"/>
  <c r="C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F1073" i="4"/>
  <c r="E1073" i="4"/>
  <c r="D1073" i="4"/>
  <c r="C1073" i="4"/>
  <c r="G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D1074" i="4"/>
  <c r="C1074" i="4"/>
  <c r="B1074" i="4"/>
  <c r="F1074" i="4"/>
  <c r="G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F1075" i="4"/>
  <c r="G1075" i="4"/>
  <c r="B1075" i="4"/>
  <c r="D1075" i="4"/>
  <c r="C1075" i="4"/>
  <c r="E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C1076" i="4"/>
  <c r="F1076" i="4"/>
  <c r="G1076" i="4"/>
  <c r="B1076" i="4"/>
  <c r="D1076" i="4"/>
  <c r="E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G1077" i="4"/>
  <c r="D1077" i="4"/>
  <c r="B1077" i="4"/>
  <c r="E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D1078" i="4"/>
  <c r="E1078" i="4"/>
  <c r="G1078" i="4"/>
  <c r="F1078" i="4"/>
  <c r="B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G1079" i="4"/>
  <c r="F1079" i="4"/>
  <c r="D1079" i="4"/>
  <c r="E1079" i="4"/>
  <c r="B1079" i="4"/>
  <c r="C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F1080" i="4"/>
  <c r="E1080" i="4"/>
  <c r="B1080" i="4"/>
  <c r="C1080" i="4"/>
  <c r="D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B1081" i="4"/>
  <c r="G1081" i="4"/>
  <c r="C1081" i="4"/>
  <c r="F1081" i="4"/>
  <c r="E1081" i="4"/>
  <c r="D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C1082" i="4"/>
  <c r="D1082" i="4"/>
  <c r="F1082" i="4"/>
  <c r="G1082" i="4"/>
  <c r="E1082" i="4"/>
  <c r="B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C1083" i="4"/>
  <c r="B1083" i="4"/>
  <c r="D1083" i="4"/>
  <c r="E1083" i="4"/>
  <c r="G1083" i="4"/>
  <c r="F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D1084" i="4"/>
  <c r="E1084" i="4"/>
  <c r="C1084" i="4"/>
  <c r="G1084" i="4"/>
  <c r="F1084" i="4"/>
  <c r="B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C1085" i="4"/>
  <c r="G1085" i="4"/>
  <c r="E1085" i="4"/>
  <c r="B1085" i="4"/>
  <c r="D1085" i="4"/>
  <c r="F1085" i="4"/>
  <c r="B1084" i="6" l="1"/>
  <c r="C1084" i="6" s="1"/>
  <c r="D1084" i="6" s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I1085" i="4"/>
  <c r="H1085" i="4"/>
  <c r="A1085" i="6"/>
  <c r="A1086" i="8" s="1"/>
  <c r="C1086" i="4"/>
  <c r="G1086" i="4"/>
  <c r="E1086" i="4"/>
  <c r="F1086" i="4"/>
  <c r="B1086" i="4"/>
  <c r="D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F1087" i="4"/>
  <c r="D1087" i="4"/>
  <c r="E1087" i="4"/>
  <c r="B1087" i="4"/>
  <c r="C1087" i="4"/>
  <c r="G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E1088" i="4"/>
  <c r="G1088" i="4"/>
  <c r="D1088" i="4"/>
  <c r="B1088" i="4"/>
  <c r="C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G1089" i="4"/>
  <c r="B1089" i="4"/>
  <c r="D1089" i="4"/>
  <c r="E1089" i="4"/>
  <c r="C1089" i="4"/>
  <c r="F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D1090" i="4"/>
  <c r="G1090" i="4"/>
  <c r="B1090" i="4"/>
  <c r="E1090" i="4"/>
  <c r="C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E1091" i="4"/>
  <c r="D1091" i="4"/>
  <c r="F1091" i="4"/>
  <c r="B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G1092" i="4"/>
  <c r="E1092" i="4"/>
  <c r="D1092" i="4"/>
  <c r="F1092" i="4"/>
  <c r="C1092" i="4"/>
  <c r="B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G1093" i="4"/>
  <c r="E1093" i="4"/>
  <c r="B1093" i="4"/>
  <c r="D1093" i="4"/>
  <c r="C1093" i="4"/>
  <c r="F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F1094" i="4"/>
  <c r="B1094" i="4"/>
  <c r="C1094" i="4"/>
  <c r="D1094" i="4"/>
  <c r="E1094" i="4"/>
  <c r="G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D1095" i="4"/>
  <c r="G1095" i="4"/>
  <c r="F1095" i="4"/>
  <c r="E1095" i="4"/>
  <c r="C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D1096" i="4"/>
  <c r="B1096" i="4"/>
  <c r="G1096" i="4"/>
  <c r="F1096" i="4"/>
  <c r="E1096" i="4"/>
  <c r="C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B1097" i="4"/>
  <c r="G1097" i="4"/>
  <c r="F1097" i="4"/>
  <c r="D1097" i="4"/>
  <c r="E1097" i="4"/>
  <c r="C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F1098" i="4"/>
  <c r="D1098" i="4"/>
  <c r="G1098" i="4"/>
  <c r="B1098" i="4"/>
  <c r="E1098" i="4"/>
  <c r="C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F1099" i="4"/>
  <c r="C1099" i="4"/>
  <c r="B1099" i="4"/>
  <c r="E1099" i="4"/>
  <c r="D1099" i="4"/>
  <c r="G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F1100" i="4"/>
  <c r="E1100" i="4"/>
  <c r="B1100" i="4"/>
  <c r="C1100" i="4"/>
  <c r="D1100" i="4"/>
  <c r="G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D1101" i="4"/>
  <c r="G1101" i="4"/>
  <c r="F1101" i="4"/>
  <c r="E1101" i="4"/>
  <c r="C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C1102" i="4"/>
  <c r="D1102" i="4"/>
  <c r="E1102" i="4"/>
  <c r="F1102" i="4"/>
  <c r="G1102" i="4"/>
  <c r="B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E1103" i="4"/>
  <c r="C1103" i="4"/>
  <c r="G1103" i="4"/>
  <c r="D1103" i="4"/>
  <c r="F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D1104" i="4"/>
  <c r="G1104" i="4"/>
  <c r="C1104" i="4"/>
  <c r="F1104" i="4"/>
  <c r="B1104" i="4"/>
  <c r="E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<sst xmlns="http://schemas.openxmlformats.org/spreadsheetml/2006/main" count="147" uniqueCount="111">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</sst>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90"/>
  <sheetViews>
    <sheetView topLeftCell="A1168" workbookViewId="0">
      <selection activeCell="A1122" sqref="A1122:I1190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90" si="56">AVERAGE(B1160:D1160)</f>
        <v>179.51329999999999</v>
      </c>
      <c r="I1160">
        <f t="shared" ref="I1160:I1190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  <row r="1172" spans="1:9">
      <c r="A1172" s="3">
        <f>信用曲线—价格!A1172</f>
        <v>46274</v>
      </c>
      <c r="B1172" s="1">
        <f>[1]!i_dq_close($B$1,A1172)</f>
        <v>161.51519999999999</v>
      </c>
      <c r="C1172" s="1">
        <f>[1]!i_dq_close($C$1,A1172)</f>
        <v>180.8297</v>
      </c>
      <c r="D1172" s="1">
        <f>[1]!i_dq_close($D$1,A1172)</f>
        <v>196.7508</v>
      </c>
      <c r="E1172" s="1">
        <f>[1]!i_dq_close($E$1,A1172)</f>
        <v>207.02699999999999</v>
      </c>
      <c r="F1172" s="1">
        <f>[1]!i_dq_close($F$1,A1172)</f>
        <v>222.26990000000001</v>
      </c>
      <c r="G1172" s="1">
        <f>[1]!i_dq_close($G$1,A1172)</f>
        <v>237.20740000000001</v>
      </c>
      <c r="H1172">
        <f t="shared" si="56"/>
        <v>179.69856666666666</v>
      </c>
      <c r="I1172">
        <f t="shared" si="57"/>
        <v>222.16810000000001</v>
      </c>
    </row>
    <row r="1173" spans="1:9">
      <c r="A1173" s="3">
        <f>信用曲线—价格!A1173</f>
        <v>46275</v>
      </c>
      <c r="B1173" s="1">
        <f>[1]!i_dq_close($B$1,A1173)</f>
        <v>161.52010000000001</v>
      </c>
      <c r="C1173" s="1">
        <f>[1]!i_dq_close($C$1,A1173)</f>
        <v>180.845</v>
      </c>
      <c r="D1173" s="1">
        <f>[1]!i_dq_close($D$1,A1173)</f>
        <v>196.77379999999999</v>
      </c>
      <c r="E1173" s="1">
        <f>[1]!i_dq_close($E$1,A1173)</f>
        <v>207.09909999999999</v>
      </c>
      <c r="F1173" s="1">
        <f>[1]!i_dq_close($F$1,A1173)</f>
        <v>222.3648</v>
      </c>
      <c r="G1173" s="1">
        <f>[1]!i_dq_close($G$1,A1173)</f>
        <v>237.2876</v>
      </c>
      <c r="H1173">
        <f t="shared" si="56"/>
        <v>179.71296666666663</v>
      </c>
      <c r="I1173">
        <f t="shared" si="57"/>
        <v>222.25049999999999</v>
      </c>
    </row>
    <row r="1174" spans="1:9">
      <c r="A1174" s="3">
        <f>信用曲线—价格!A1174</f>
        <v>46276</v>
      </c>
      <c r="B1174" s="1">
        <f>[1]!i_dq_close($B$1,A1174)</f>
        <v>161.52719999999999</v>
      </c>
      <c r="C1174" s="1">
        <f>[1]!i_dq_close($C$1,A1174)</f>
        <v>180.85669999999999</v>
      </c>
      <c r="D1174" s="1">
        <f>[1]!i_dq_close($D$1,A1174)</f>
        <v>196.7894</v>
      </c>
      <c r="E1174" s="1">
        <f>[1]!i_dq_close($E$1,A1174)</f>
        <v>207.06960000000001</v>
      </c>
      <c r="F1174" s="1">
        <f>[1]!i_dq_close($F$1,A1174)</f>
        <v>222.2407</v>
      </c>
      <c r="G1174" s="1">
        <f>[1]!i_dq_close($G$1,A1174)</f>
        <v>237.4597</v>
      </c>
      <c r="H1174">
        <f t="shared" si="56"/>
        <v>179.72443333333331</v>
      </c>
      <c r="I1174">
        <f t="shared" si="57"/>
        <v>222.25666666666666</v>
      </c>
    </row>
    <row r="1175" spans="1:9">
      <c r="A1175" s="3">
        <f>信用曲线—价格!A1175</f>
        <v>46279</v>
      </c>
      <c r="B1175" s="1">
        <f>[1]!i_dq_close($B$1,A1175)</f>
        <v>161.54859999999999</v>
      </c>
      <c r="C1175" s="1">
        <f>[1]!i_dq_close($C$1,A1175)</f>
        <v>180.88919999999999</v>
      </c>
      <c r="D1175" s="1">
        <f>[1]!i_dq_close($D$1,A1175)</f>
        <v>196.8383</v>
      </c>
      <c r="E1175" s="1">
        <f>[1]!i_dq_close($E$1,A1175)</f>
        <v>207.1105</v>
      </c>
      <c r="F1175" s="1">
        <f>[1]!i_dq_close($F$1,A1175)</f>
        <v>222.2629</v>
      </c>
      <c r="G1175" s="1">
        <f>[1]!i_dq_close($G$1,A1175)</f>
        <v>237.4863</v>
      </c>
      <c r="H1175">
        <f t="shared" si="56"/>
        <v>179.7587</v>
      </c>
      <c r="I1175">
        <f t="shared" si="57"/>
        <v>222.28656666666666</v>
      </c>
    </row>
    <row r="1176" spans="1:9">
      <c r="A1176" s="3">
        <f>信用曲线—价格!A1176</f>
        <v>46280</v>
      </c>
      <c r="B1176" s="1">
        <f>[1]!i_dq_close($B$1,A1176)</f>
        <v>161.55719999999999</v>
      </c>
      <c r="C1176" s="1">
        <f>[1]!i_dq_close($C$1,A1176)</f>
        <v>180.9058</v>
      </c>
      <c r="D1176" s="1">
        <f>[1]!i_dq_close($D$1,A1176)</f>
        <v>196.88229999999999</v>
      </c>
      <c r="E1176" s="1">
        <f>[1]!i_dq_close($E$1,A1176)</f>
        <v>207.11179999999999</v>
      </c>
      <c r="F1176" s="1">
        <f>[1]!i_dq_close($F$1,A1176)</f>
        <v>222.42449999999999</v>
      </c>
      <c r="G1176" s="1">
        <f>[1]!i_dq_close($G$1,A1176)</f>
        <v>237.6036</v>
      </c>
      <c r="H1176">
        <f t="shared" si="56"/>
        <v>179.78176666666664</v>
      </c>
      <c r="I1176">
        <f t="shared" si="57"/>
        <v>222.37996666666666</v>
      </c>
    </row>
    <row r="1177" spans="1:9">
      <c r="A1177" s="3">
        <f>信用曲线—价格!A1177</f>
        <v>46281</v>
      </c>
      <c r="B1177" s="1">
        <f>[1]!i_dq_close($B$1,A1177)</f>
        <v>161.5624</v>
      </c>
      <c r="C1177" s="1">
        <f>[1]!i_dq_close($C$1,A1177)</f>
        <v>180.9187</v>
      </c>
      <c r="D1177" s="1">
        <f>[1]!i_dq_close($D$1,A1177)</f>
        <v>196.9246</v>
      </c>
      <c r="E1177" s="1">
        <f>[1]!i_dq_close($E$1,A1177)</f>
        <v>207.11580000000001</v>
      </c>
      <c r="F1177" s="1">
        <f>[1]!i_dq_close($F$1,A1177)</f>
        <v>222.52010000000001</v>
      </c>
      <c r="G1177" s="1">
        <f>[1]!i_dq_close($G$1,A1177)</f>
        <v>237.70529999999999</v>
      </c>
      <c r="H1177">
        <f t="shared" si="56"/>
        <v>179.80190000000002</v>
      </c>
      <c r="I1177">
        <f t="shared" si="57"/>
        <v>222.44706666666664</v>
      </c>
    </row>
    <row r="1178" spans="1:9">
      <c r="A1178" s="3">
        <f>信用曲线—价格!A1178</f>
        <v>46282</v>
      </c>
      <c r="B1178" s="1">
        <f>[1]!i_dq_close($B$1,A1178)</f>
        <v>161.57040000000001</v>
      </c>
      <c r="C1178" s="1">
        <f>[1]!i_dq_close($C$1,A1178)</f>
        <v>180.93979999999999</v>
      </c>
      <c r="D1178" s="1">
        <f>[1]!i_dq_close($D$1,A1178)</f>
        <v>196.9478</v>
      </c>
      <c r="E1178" s="1">
        <f>[1]!i_dq_close($E$1,A1178)</f>
        <v>207.14240000000001</v>
      </c>
      <c r="F1178" s="1">
        <f>[1]!i_dq_close($F$1,A1178)</f>
        <v>222.64660000000001</v>
      </c>
      <c r="G1178" s="1">
        <f>[1]!i_dq_close($G$1,A1178)</f>
        <v>237.9486</v>
      </c>
      <c r="H1178">
        <f t="shared" si="56"/>
        <v>179.81933333333333</v>
      </c>
      <c r="I1178">
        <f t="shared" si="57"/>
        <v>222.57919999999999</v>
      </c>
    </row>
    <row r="1179" spans="1:9">
      <c r="A1179" s="3">
        <f>信用曲线—价格!A1179</f>
        <v>46283</v>
      </c>
      <c r="B1179" s="1">
        <f>[1]!i_dq_close($B$1,A1179)</f>
        <v>161.577</v>
      </c>
      <c r="C1179" s="1">
        <f>[1]!i_dq_close($C$1,A1179)</f>
        <v>180.96729999999999</v>
      </c>
      <c r="D1179" s="1">
        <f>[1]!i_dq_close($D$1,A1179)</f>
        <v>197.0136</v>
      </c>
      <c r="E1179" s="1">
        <f>[1]!i_dq_close($E$1,A1179)</f>
        <v>207.2894</v>
      </c>
      <c r="F1179" s="1">
        <f>[1]!i_dq_close($F$1,A1179)</f>
        <v>222.8185</v>
      </c>
      <c r="G1179" s="1">
        <f>[1]!i_dq_close($G$1,A1179)</f>
        <v>238.1481</v>
      </c>
      <c r="H1179">
        <f t="shared" si="56"/>
        <v>179.85263333333333</v>
      </c>
      <c r="I1179">
        <f t="shared" si="57"/>
        <v>222.75199999999998</v>
      </c>
    </row>
    <row r="1180" spans="1:9">
      <c r="A1180" s="3">
        <f>信用曲线—价格!A1180</f>
        <v>46285</v>
      </c>
      <c r="B1180" s="1">
        <f>[1]!i_dq_close($B$1,A1180)</f>
        <v>161.58879999999999</v>
      </c>
      <c r="C1180" s="1">
        <f>[1]!i_dq_close($C$1,A1180)</f>
        <v>180.98599999999999</v>
      </c>
      <c r="D1180" s="1">
        <f>[1]!i_dq_close($D$1,A1180)</f>
        <v>197.05250000000001</v>
      </c>
      <c r="E1180" s="1">
        <f>[1]!i_dq_close($E$1,A1180)</f>
        <v>207.404</v>
      </c>
      <c r="F1180" s="1">
        <f>[1]!i_dq_close($F$1,A1180)</f>
        <v>222.9966</v>
      </c>
      <c r="G1180" s="1">
        <f>[1]!i_dq_close($G$1,A1180)</f>
        <v>238.42230000000001</v>
      </c>
      <c r="H1180">
        <f t="shared" si="56"/>
        <v>179.87576666666666</v>
      </c>
      <c r="I1180">
        <f t="shared" si="57"/>
        <v>222.94096666666667</v>
      </c>
    </row>
    <row r="1181" spans="1:9">
      <c r="A1181" s="3">
        <f>信用曲线—价格!A1181</f>
        <v>46286</v>
      </c>
      <c r="B1181" s="1">
        <f>[1]!i_dq_close($B$1,A1181)</f>
        <v>161.59690000000001</v>
      </c>
      <c r="C1181" s="1">
        <f>[1]!i_dq_close($C$1,A1181)</f>
        <v>181.01079999999999</v>
      </c>
      <c r="D1181" s="1">
        <f>[1]!i_dq_close($D$1,A1181)</f>
        <v>197.11609999999999</v>
      </c>
      <c r="E1181" s="1">
        <f>[1]!i_dq_close($E$1,A1181)</f>
        <v>207.4913</v>
      </c>
      <c r="F1181" s="1">
        <f>[1]!i_dq_close($F$1,A1181)</f>
        <v>223.2183</v>
      </c>
      <c r="G1181" s="1">
        <f>[1]!i_dq_close($G$1,A1181)</f>
        <v>238.61680000000001</v>
      </c>
      <c r="H1181">
        <f t="shared" si="56"/>
        <v>179.90793333333332</v>
      </c>
      <c r="I1181">
        <f t="shared" si="57"/>
        <v>223.1088</v>
      </c>
    </row>
    <row r="1182" spans="1:9">
      <c r="A1182" s="3">
        <f>信用曲线—价格!A1182</f>
        <v>46287</v>
      </c>
      <c r="B1182" s="1">
        <f>[1]!i_dq_close($B$1,A1182)</f>
        <v>161.60400000000001</v>
      </c>
      <c r="C1182" s="1">
        <f>[1]!i_dq_close($C$1,A1182)</f>
        <v>181.0308</v>
      </c>
      <c r="D1182" s="1">
        <f>[1]!i_dq_close($D$1,A1182)</f>
        <v>197.1566</v>
      </c>
      <c r="E1182" s="1">
        <f>[1]!i_dq_close($E$1,A1182)</f>
        <v>207.55869999999999</v>
      </c>
      <c r="F1182" s="1">
        <f>[1]!i_dq_close($F$1,A1182)</f>
        <v>223.45349999999999</v>
      </c>
      <c r="G1182" s="1">
        <f>[1]!i_dq_close($G$1,A1182)</f>
        <v>238.9359</v>
      </c>
      <c r="H1182">
        <f t="shared" si="56"/>
        <v>179.93046666666669</v>
      </c>
      <c r="I1182">
        <f t="shared" si="57"/>
        <v>223.31603333333337</v>
      </c>
    </row>
    <row r="1183" spans="1:9">
      <c r="A1183" s="3">
        <f>信用曲线—价格!A1183</f>
        <v>46288</v>
      </c>
      <c r="B1183" s="1">
        <f>[1]!i_dq_close($B$1,A1183)</f>
        <v>161.613</v>
      </c>
      <c r="C1183" s="1">
        <f>[1]!i_dq_close($C$1,A1183)</f>
        <v>181.05199999999999</v>
      </c>
      <c r="D1183" s="1">
        <f>[1]!i_dq_close($D$1,A1183)</f>
        <v>197.20050000000001</v>
      </c>
      <c r="E1183" s="1">
        <f>[1]!i_dq_close($E$1,A1183)</f>
        <v>207.67259999999999</v>
      </c>
      <c r="F1183" s="1">
        <f>[1]!i_dq_close($F$1,A1183)</f>
        <v>223.60589999999999</v>
      </c>
      <c r="G1183" s="1">
        <f>[1]!i_dq_close($G$1,A1183)</f>
        <v>239.18629999999999</v>
      </c>
      <c r="H1183">
        <f t="shared" si="56"/>
        <v>179.95516666666666</v>
      </c>
      <c r="I1183">
        <f t="shared" si="57"/>
        <v>223.48826666666665</v>
      </c>
    </row>
    <row r="1184" spans="1:9">
      <c r="A1184" s="3">
        <f>信用曲线—价格!A1184</f>
        <v>46289</v>
      </c>
      <c r="B1184" s="1">
        <f>[1]!i_dq_close($B$1,A1184)</f>
        <v>161.6199</v>
      </c>
      <c r="C1184" s="1">
        <f>[1]!i_dq_close($C$1,A1184)</f>
        <v>181.06819999999999</v>
      </c>
      <c r="D1184" s="1">
        <f>[1]!i_dq_close($D$1,A1184)</f>
        <v>197.23750000000001</v>
      </c>
      <c r="E1184" s="1">
        <f>[1]!i_dq_close($E$1,A1184)</f>
        <v>207.7276</v>
      </c>
      <c r="F1184" s="1">
        <f>[1]!i_dq_close($F$1,A1184)</f>
        <v>223.77930000000001</v>
      </c>
      <c r="G1184" s="1">
        <f>[1]!i_dq_close($G$1,A1184)</f>
        <v>239.39179999999999</v>
      </c>
      <c r="H1184">
        <f t="shared" si="56"/>
        <v>179.9752</v>
      </c>
      <c r="I1184">
        <f t="shared" si="57"/>
        <v>223.63289999999998</v>
      </c>
    </row>
    <row r="1185" spans="1:9">
      <c r="A1185" s="3">
        <f>信用曲线—价格!A1185</f>
        <v>46293</v>
      </c>
      <c r="B1185" s="1">
        <f>[1]!i_dq_close($B$1,A1185)</f>
        <v>161.65</v>
      </c>
      <c r="C1185" s="1">
        <f>[1]!i_dq_close($C$1,A1185)</f>
        <v>181.09729999999999</v>
      </c>
      <c r="D1185" s="1">
        <f>[1]!i_dq_close($D$1,A1185)</f>
        <v>197.28210000000001</v>
      </c>
      <c r="E1185" s="1">
        <f>[1]!i_dq_close($E$1,A1185)</f>
        <v>207.7722</v>
      </c>
      <c r="F1185" s="1">
        <f>[1]!i_dq_close($F$1,A1185)</f>
        <v>223.89150000000001</v>
      </c>
      <c r="G1185" s="1">
        <f>[1]!i_dq_close($G$1,A1185)</f>
        <v>239.42009999999999</v>
      </c>
      <c r="H1185">
        <f t="shared" si="56"/>
        <v>180.00980000000001</v>
      </c>
      <c r="I1185">
        <f t="shared" si="57"/>
        <v>223.69460000000001</v>
      </c>
    </row>
    <row r="1186" spans="1:9">
      <c r="A1186" s="3">
        <f>信用曲线—价格!A1186</f>
        <v>46294</v>
      </c>
      <c r="B1186" s="1">
        <f>[1]!i_dq_close($B$1,A1186)</f>
        <v>161.66120000000001</v>
      </c>
      <c r="C1186" s="1">
        <f>[1]!i_dq_close($C$1,A1186)</f>
        <v>181.12309999999999</v>
      </c>
      <c r="D1186" s="1">
        <f>[1]!i_dq_close($D$1,A1186)</f>
        <v>197.31819999999999</v>
      </c>
      <c r="E1186" s="1">
        <f>[1]!i_dq_close($E$1,A1186)</f>
        <v>207.85910000000001</v>
      </c>
      <c r="F1186" s="1">
        <f>[1]!i_dq_close($F$1,A1186)</f>
        <v>224.04159999999999</v>
      </c>
      <c r="G1186" s="1">
        <f>[1]!i_dq_close($G$1,A1186)</f>
        <v>239.65790000000001</v>
      </c>
      <c r="H1186">
        <f t="shared" si="56"/>
        <v>180.03416666666666</v>
      </c>
      <c r="I1186">
        <f t="shared" si="57"/>
        <v>223.8528666666667</v>
      </c>
    </row>
    <row r="1187" spans="1:9">
      <c r="A1187" s="3">
        <f>信用曲线—价格!A1187</f>
        <v>46295</v>
      </c>
      <c r="B1187" s="1">
        <f>[1]!i_dq_close($B$1,A1187)</f>
        <v>161.67189999999999</v>
      </c>
      <c r="C1187" s="1">
        <f>[1]!i_dq_close($C$1,A1187)</f>
        <v>181.12909999999999</v>
      </c>
      <c r="D1187" s="1">
        <f>[1]!i_dq_close($D$1,A1187)</f>
        <v>197.3253</v>
      </c>
      <c r="E1187" s="1">
        <f>[1]!i_dq_close($E$1,A1187)</f>
        <v>207.84729999999999</v>
      </c>
      <c r="F1187" s="1">
        <f>[1]!i_dq_close($F$1,A1187)</f>
        <v>224.03960000000001</v>
      </c>
      <c r="G1187" s="1">
        <f>[1]!i_dq_close($G$1,A1187)</f>
        <v>239.6978</v>
      </c>
      <c r="H1187">
        <f t="shared" si="56"/>
        <v>180.0421</v>
      </c>
      <c r="I1187">
        <f t="shared" si="57"/>
        <v>223.86156666666668</v>
      </c>
    </row>
    <row r="1188" spans="1:9">
      <c r="A1188" s="3">
        <f>信用曲线—价格!A1188</f>
        <v>46303</v>
      </c>
      <c r="B1188" s="1">
        <f>[1]!i_dq_close($B$1,A1188)</f>
        <v>161.72819999999999</v>
      </c>
      <c r="C1188" s="1">
        <f>[1]!i_dq_close($C$1,A1188)</f>
        <v>181.20240000000001</v>
      </c>
      <c r="D1188" s="1">
        <f>[1]!i_dq_close($D$1,A1188)</f>
        <v>197.4161</v>
      </c>
      <c r="E1188" s="1">
        <f>[1]!i_dq_close($E$1,A1188)</f>
        <v>207.93129999999999</v>
      </c>
      <c r="F1188" s="1">
        <f>[1]!i_dq_close($F$1,A1188)</f>
        <v>224.08260000000001</v>
      </c>
      <c r="G1188" s="1">
        <f>[1]!i_dq_close($G$1,A1188)</f>
        <v>239.91460000000001</v>
      </c>
      <c r="H1188">
        <f t="shared" si="56"/>
        <v>180.11556666666669</v>
      </c>
      <c r="I1188">
        <f t="shared" si="57"/>
        <v>223.97616666666667</v>
      </c>
    </row>
    <row r="1189" spans="1:9">
      <c r="A1189" s="3">
        <f>信用曲线—价格!A1189</f>
        <v>46304</v>
      </c>
      <c r="B1189" s="1">
        <f>[1]!i_dq_close($B$1,A1189)</f>
        <v>161.73740000000001</v>
      </c>
      <c r="C1189" s="1">
        <f>[1]!i_dq_close($C$1,A1189)</f>
        <v>181.21860000000001</v>
      </c>
      <c r="D1189" s="1">
        <f>[1]!i_dq_close($D$1,A1189)</f>
        <v>197.43629999999999</v>
      </c>
      <c r="E1189" s="1">
        <f>[1]!i_dq_close($E$1,A1189)</f>
        <v>207.96080000000001</v>
      </c>
      <c r="F1189" s="1">
        <f>[1]!i_dq_close($F$1,A1189)</f>
        <v>224.15770000000001</v>
      </c>
      <c r="G1189" s="1">
        <f>[1]!i_dq_close($G$1,A1189)</f>
        <v>239.9898</v>
      </c>
      <c r="H1189">
        <f t="shared" si="56"/>
        <v>180.13076666666666</v>
      </c>
      <c r="I1189">
        <f t="shared" si="57"/>
        <v>224.03610000000003</v>
      </c>
    </row>
    <row r="1190" spans="1:9">
      <c r="A1190" s="3">
        <f>信用曲线—价格!A1190</f>
        <v>46305</v>
      </c>
      <c r="B1190" s="1">
        <f>[1]!i_dq_close($B$1,A1190)</f>
        <v>161.744</v>
      </c>
      <c r="C1190" s="1">
        <f>[1]!i_dq_close($C$1,A1190)</f>
        <v>181.22989999999999</v>
      </c>
      <c r="D1190" s="1">
        <f>[1]!i_dq_close($D$1,A1190)</f>
        <v>197.46860000000001</v>
      </c>
      <c r="E1190" s="1">
        <f>[1]!i_dq_close($E$1,A1190)</f>
        <v>207.94499999999999</v>
      </c>
      <c r="F1190" s="1">
        <f>[1]!i_dq_close($F$1,A1190)</f>
        <v>224.1045</v>
      </c>
      <c r="G1190" s="1">
        <f>[1]!i_dq_close($G$1,A1190)</f>
        <v>239.9753</v>
      </c>
      <c r="H1190">
        <f t="shared" si="56"/>
        <v>180.14750000000001</v>
      </c>
      <c r="I1190">
        <f t="shared" si="57"/>
        <v>224.00826666666663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70" activePane="bottomRight" state="frozen"/>
      <selection pane="topRight" activeCell="B1" sqref="B1"/>
      <selection pane="bottomLeft" activeCell="A3" sqref="A3"/>
      <selection pane="bottomRight" activeCell="H1167" sqref="H1167:I1190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9" si="52">(D1168-F1168)*100</f>
        <v>35.02000000000001</v>
      </c>
      <c r="I1168">
        <f t="shared" ref="I1168:I1179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A1172" s="5">
        <v>46274</v>
      </c>
      <c r="B1172" s="6">
        <v>1.6928000000000001</v>
      </c>
      <c r="C1172" s="6">
        <v>1.7883</v>
      </c>
      <c r="D1172" s="6">
        <v>1.9754</v>
      </c>
      <c r="E1172" s="6">
        <v>2.1945999999999999</v>
      </c>
      <c r="F1172" s="6">
        <v>1.6641999999999999</v>
      </c>
      <c r="G1172" s="6">
        <v>1.7618</v>
      </c>
      <c r="H1172">
        <f t="shared" si="52"/>
        <v>31.120000000000015</v>
      </c>
      <c r="I1172">
        <f t="shared" si="53"/>
        <v>43.279999999999987</v>
      </c>
      <c r="J1172" s="6"/>
      <c r="K1172" s="6"/>
      <c r="L1172" s="6"/>
      <c r="M1172" s="6"/>
      <c r="N1172" s="6"/>
    </row>
    <row r="1173" spans="1:14">
      <c r="A1173" s="5">
        <v>46275</v>
      </c>
      <c r="B1173" s="6">
        <v>1.6970000000000001</v>
      </c>
      <c r="C1173" s="6">
        <v>1.7882</v>
      </c>
      <c r="D1173" s="6">
        <v>1.9601999999999999</v>
      </c>
      <c r="E1173" s="6">
        <v>2.1924999999999999</v>
      </c>
      <c r="F1173" s="6">
        <v>1.6667000000000001</v>
      </c>
      <c r="G1173" s="6">
        <v>1.7624</v>
      </c>
      <c r="H1173">
        <f t="shared" si="52"/>
        <v>29.349999999999987</v>
      </c>
      <c r="I1173">
        <f t="shared" si="53"/>
        <v>43.009999999999991</v>
      </c>
      <c r="J1173" s="6"/>
      <c r="K1173" s="6"/>
      <c r="L1173" s="6"/>
      <c r="M1173" s="6"/>
      <c r="N1173" s="6"/>
    </row>
    <row r="1174" spans="1:14">
      <c r="A1174" s="5">
        <v>46276</v>
      </c>
      <c r="B1174" s="6">
        <v>1.696</v>
      </c>
      <c r="C1174" s="6">
        <v>1.7891999999999999</v>
      </c>
      <c r="D1174" s="6">
        <v>1.9652000000000001</v>
      </c>
      <c r="E1174" s="6">
        <v>2.1943000000000001</v>
      </c>
      <c r="F1174" s="6">
        <v>1.673</v>
      </c>
      <c r="G1174" s="6">
        <v>1.7667999999999999</v>
      </c>
      <c r="H1174">
        <f t="shared" si="52"/>
        <v>29.220000000000002</v>
      </c>
      <c r="I1174">
        <f t="shared" si="53"/>
        <v>42.750000000000021</v>
      </c>
      <c r="J1174" s="6"/>
      <c r="K1174" s="6"/>
      <c r="L1174" s="6"/>
      <c r="M1174" s="6"/>
      <c r="N1174" s="6"/>
    </row>
    <row r="1175" spans="1:14">
      <c r="A1175" s="5">
        <v>46279</v>
      </c>
      <c r="B1175" s="6">
        <v>1.6966000000000001</v>
      </c>
      <c r="C1175" s="6">
        <v>1.7902</v>
      </c>
      <c r="D1175" s="6">
        <v>1.9683999999999999</v>
      </c>
      <c r="E1175" s="6">
        <v>2.1858</v>
      </c>
      <c r="F1175" s="6">
        <v>1.6717</v>
      </c>
      <c r="G1175" s="6">
        <v>1.7669999999999999</v>
      </c>
      <c r="H1175">
        <f t="shared" si="52"/>
        <v>29.669999999999995</v>
      </c>
      <c r="I1175">
        <f t="shared" si="53"/>
        <v>41.88000000000001</v>
      </c>
      <c r="J1175" s="6"/>
      <c r="K1175" s="6"/>
      <c r="L1175" s="6"/>
      <c r="M1175" s="6"/>
      <c r="N1175" s="6"/>
    </row>
    <row r="1176" spans="1:14">
      <c r="A1176" s="5">
        <v>46280</v>
      </c>
      <c r="B1176" s="6">
        <v>1.6939</v>
      </c>
      <c r="C1176" s="6">
        <v>1.7787999999999999</v>
      </c>
      <c r="D1176" s="6">
        <v>1.9612000000000001</v>
      </c>
      <c r="E1176" s="6">
        <v>2.1882000000000001</v>
      </c>
      <c r="F1176" s="6">
        <v>1.6697</v>
      </c>
      <c r="G1176" s="6">
        <v>1.7639</v>
      </c>
      <c r="H1176">
        <f t="shared" si="52"/>
        <v>29.150000000000009</v>
      </c>
      <c r="I1176">
        <f t="shared" si="53"/>
        <v>42.430000000000014</v>
      </c>
      <c r="J1176" s="6"/>
      <c r="K1176" s="6"/>
      <c r="L1176" s="6"/>
      <c r="M1176" s="6"/>
      <c r="N1176" s="6"/>
    </row>
    <row r="1177" spans="1:14">
      <c r="A1177" s="5">
        <v>46281</v>
      </c>
      <c r="B1177" s="6">
        <v>1.6903999999999999</v>
      </c>
      <c r="C1177" s="6">
        <v>1.7741</v>
      </c>
      <c r="D1177" s="6">
        <v>1.9633</v>
      </c>
      <c r="E1177" s="6">
        <v>2.1842000000000001</v>
      </c>
      <c r="F1177" s="6">
        <v>1.6677</v>
      </c>
      <c r="G1177" s="6">
        <v>1.7614000000000001</v>
      </c>
      <c r="H1177">
        <f t="shared" si="52"/>
        <v>29.560000000000009</v>
      </c>
      <c r="I1177">
        <f t="shared" si="53"/>
        <v>42.280000000000008</v>
      </c>
      <c r="J1177" s="6"/>
      <c r="K1177" s="6"/>
      <c r="L1177" s="6"/>
      <c r="M1177" s="6"/>
      <c r="N1177" s="6"/>
    </row>
    <row r="1178" spans="1:14">
      <c r="A1178" s="5">
        <v>46282</v>
      </c>
      <c r="B1178" s="6">
        <v>1.6828000000000001</v>
      </c>
      <c r="C1178" s="6">
        <v>1.7717000000000001</v>
      </c>
      <c r="D1178" s="6">
        <v>1.9615</v>
      </c>
      <c r="E1178" s="6">
        <v>2.1837</v>
      </c>
      <c r="F1178" s="6">
        <v>1.665</v>
      </c>
      <c r="G1178" s="6">
        <v>1.7619</v>
      </c>
      <c r="H1178">
        <f t="shared" si="52"/>
        <v>29.65</v>
      </c>
      <c r="I1178">
        <f t="shared" si="53"/>
        <v>42.179999999999993</v>
      </c>
      <c r="J1178" s="6"/>
      <c r="K1178" s="6"/>
      <c r="L1178" s="6"/>
      <c r="M1178" s="6"/>
      <c r="N1178" s="6"/>
    </row>
    <row r="1179" spans="1:14">
      <c r="A1179" s="5">
        <v>46283</v>
      </c>
      <c r="B1179" s="6">
        <v>1.679</v>
      </c>
      <c r="C1179" s="6">
        <v>1.7622</v>
      </c>
      <c r="D1179" s="6">
        <v>1.9529000000000001</v>
      </c>
      <c r="E1179" s="6">
        <v>2.1793999999999998</v>
      </c>
      <c r="F1179" s="6">
        <v>1.6587000000000001</v>
      </c>
      <c r="G1179" s="6">
        <v>1.7563</v>
      </c>
      <c r="H1179">
        <f t="shared" si="52"/>
        <v>29.42</v>
      </c>
      <c r="I1179">
        <f t="shared" si="53"/>
        <v>42.309999999999981</v>
      </c>
      <c r="J1179" s="6"/>
      <c r="K1179" s="6"/>
      <c r="L1179" s="6"/>
      <c r="M1179" s="6"/>
      <c r="N1179" s="6"/>
    </row>
    <row r="1180" spans="1:14">
      <c r="A1180" s="5">
        <v>46285</v>
      </c>
      <c r="B1180" s="6">
        <v>1.6831</v>
      </c>
      <c r="C1180" s="6">
        <v>1.7501</v>
      </c>
      <c r="D1180" s="6">
        <v>1.9444999999999999</v>
      </c>
      <c r="E1180" s="6">
        <v>2.1709999999999998</v>
      </c>
      <c r="F1180" s="6">
        <v>1.6581999999999999</v>
      </c>
      <c r="G1180" s="6">
        <v>1.7538</v>
      </c>
      <c r="H1180">
        <f t="shared" ref="H1180:H1190" si="54">(D1180-F1180)*100</f>
        <v>28.63</v>
      </c>
      <c r="I1180">
        <f t="shared" ref="I1180:I1190" si="55">(E1180-G1180)*100</f>
        <v>41.719999999999978</v>
      </c>
      <c r="J1180" s="6"/>
      <c r="K1180" s="6"/>
      <c r="L1180" s="6"/>
      <c r="M1180" s="6"/>
      <c r="N1180" s="6"/>
    </row>
    <row r="1181" spans="1:14">
      <c r="A1181" s="5">
        <v>46286</v>
      </c>
      <c r="B1181" s="6">
        <v>1.6778</v>
      </c>
      <c r="C1181" s="6">
        <v>1.7479</v>
      </c>
      <c r="D1181" s="6">
        <v>1.9218999999999999</v>
      </c>
      <c r="E1181" s="6">
        <v>2.1652999999999998</v>
      </c>
      <c r="F1181" s="6">
        <v>1.6560999999999999</v>
      </c>
      <c r="G1181" s="6">
        <v>1.756</v>
      </c>
      <c r="H1181">
        <f t="shared" si="54"/>
        <v>26.580000000000005</v>
      </c>
      <c r="I1181">
        <f t="shared" si="55"/>
        <v>40.929999999999978</v>
      </c>
      <c r="J1181" s="6"/>
      <c r="K1181" s="6"/>
      <c r="L1181" s="6"/>
      <c r="M1181" s="6"/>
      <c r="N1181" s="6"/>
    </row>
    <row r="1182" spans="1:14">
      <c r="A1182" s="5">
        <v>46287</v>
      </c>
      <c r="B1182" s="6">
        <v>1.67</v>
      </c>
      <c r="C1182" s="6">
        <v>1.7436</v>
      </c>
      <c r="D1182" s="6">
        <v>1.9167000000000001</v>
      </c>
      <c r="E1182" s="6">
        <v>2.1490999999999998</v>
      </c>
      <c r="F1182" s="6">
        <v>1.6536</v>
      </c>
      <c r="G1182" s="6">
        <v>1.752</v>
      </c>
      <c r="H1182">
        <f t="shared" si="54"/>
        <v>26.310000000000009</v>
      </c>
      <c r="I1182">
        <f t="shared" si="55"/>
        <v>39.70999999999998</v>
      </c>
      <c r="J1182" s="6"/>
      <c r="K1182" s="6"/>
      <c r="L1182" s="6"/>
      <c r="M1182" s="6"/>
      <c r="N1182" s="6"/>
    </row>
    <row r="1183" spans="1:14">
      <c r="A1183" s="5">
        <v>46288</v>
      </c>
      <c r="B1183" s="6">
        <v>1.6700999999999999</v>
      </c>
      <c r="C1183" s="6">
        <v>1.7410000000000001</v>
      </c>
      <c r="D1183" s="6">
        <v>1.9038999999999999</v>
      </c>
      <c r="E1183" s="6">
        <v>2.1404000000000001</v>
      </c>
      <c r="F1183" s="6">
        <v>1.6551</v>
      </c>
      <c r="G1183" s="6">
        <v>1.7545999999999999</v>
      </c>
      <c r="H1183">
        <f t="shared" si="54"/>
        <v>24.879999999999992</v>
      </c>
      <c r="I1183">
        <f t="shared" si="55"/>
        <v>38.580000000000013</v>
      </c>
      <c r="J1183" s="6"/>
      <c r="K1183" s="6"/>
      <c r="L1183" s="6"/>
      <c r="M1183" s="6"/>
      <c r="N1183" s="6"/>
    </row>
    <row r="1184" spans="1:14">
      <c r="A1184" s="5">
        <v>46289</v>
      </c>
      <c r="B1184" s="6">
        <v>1.6684000000000001</v>
      </c>
      <c r="C1184" s="6">
        <v>1.7366999999999999</v>
      </c>
      <c r="D1184" s="6">
        <v>1.8985000000000001</v>
      </c>
      <c r="E1184" s="6">
        <v>2.1254</v>
      </c>
      <c r="F1184" s="6">
        <v>1.6500999999999999</v>
      </c>
      <c r="G1184" s="6">
        <v>1.7475000000000001</v>
      </c>
      <c r="H1184">
        <f t="shared" si="54"/>
        <v>24.840000000000018</v>
      </c>
      <c r="I1184">
        <f t="shared" si="55"/>
        <v>37.789999999999992</v>
      </c>
      <c r="J1184" s="6"/>
      <c r="K1184" s="6"/>
      <c r="L1184" s="6"/>
      <c r="M1184" s="6"/>
      <c r="N1184" s="6"/>
    </row>
    <row r="1185" spans="1:14">
      <c r="A1185" s="5">
        <v>46293</v>
      </c>
      <c r="B1185" s="6">
        <v>1.6685000000000001</v>
      </c>
      <c r="C1185" s="6">
        <v>1.7379</v>
      </c>
      <c r="D1185" s="6">
        <v>1.8855</v>
      </c>
      <c r="E1185" s="6">
        <v>2.1252</v>
      </c>
      <c r="F1185" s="6">
        <v>1.6533</v>
      </c>
      <c r="G1185" s="6">
        <v>1.7534000000000001</v>
      </c>
      <c r="H1185">
        <f t="shared" si="54"/>
        <v>23.219999999999995</v>
      </c>
      <c r="I1185">
        <f t="shared" si="55"/>
        <v>37.179999999999993</v>
      </c>
      <c r="J1185" s="6"/>
      <c r="K1185" s="6"/>
      <c r="L1185" s="6"/>
      <c r="M1185" s="6"/>
      <c r="N1185" s="6"/>
    </row>
    <row r="1186" spans="1:14">
      <c r="A1186" s="5">
        <v>46294</v>
      </c>
      <c r="B1186" s="6">
        <v>1.6628000000000001</v>
      </c>
      <c r="C1186" s="6">
        <v>1.7355</v>
      </c>
      <c r="D1186" s="6">
        <v>1.8777999999999999</v>
      </c>
      <c r="E1186" s="6">
        <v>2.1111</v>
      </c>
      <c r="F1186" s="6">
        <v>1.6397999999999999</v>
      </c>
      <c r="G1186" s="6">
        <v>1.7407999999999999</v>
      </c>
      <c r="H1186">
        <f t="shared" si="54"/>
        <v>23.799999999999997</v>
      </c>
      <c r="I1186">
        <f t="shared" si="55"/>
        <v>37.030000000000008</v>
      </c>
      <c r="J1186" s="6"/>
      <c r="K1186" s="6"/>
      <c r="L1186" s="6"/>
      <c r="M1186" s="6"/>
      <c r="N1186" s="6"/>
    </row>
    <row r="1187" spans="1:14">
      <c r="A1187" s="5">
        <v>46295</v>
      </c>
      <c r="B1187" s="6">
        <v>1.6719999999999999</v>
      </c>
      <c r="C1187" s="6">
        <v>1.7406999999999999</v>
      </c>
      <c r="D1187" s="6">
        <v>1.8842000000000001</v>
      </c>
      <c r="E1187" s="6">
        <v>2.11</v>
      </c>
      <c r="F1187" s="6">
        <v>1.6548</v>
      </c>
      <c r="G1187" s="6">
        <v>1.7559</v>
      </c>
      <c r="H1187">
        <f t="shared" si="54"/>
        <v>22.940000000000005</v>
      </c>
      <c r="I1187">
        <f t="shared" si="55"/>
        <v>35.409999999999982</v>
      </c>
      <c r="J1187" s="6"/>
      <c r="K1187" s="6"/>
      <c r="L1187" s="6"/>
      <c r="M1187" s="6"/>
      <c r="N1187" s="6"/>
    </row>
    <row r="1188" spans="1:14">
      <c r="A1188" s="5">
        <v>46303</v>
      </c>
      <c r="B1188" s="6">
        <v>1.6678999999999999</v>
      </c>
      <c r="C1188" s="6">
        <v>1.7474000000000001</v>
      </c>
      <c r="D1188" s="6">
        <v>1.8906000000000001</v>
      </c>
      <c r="E1188" s="6">
        <v>2.1067</v>
      </c>
      <c r="F1188" s="6">
        <v>1.6597999999999999</v>
      </c>
      <c r="G1188" s="6">
        <v>1.7559</v>
      </c>
      <c r="H1188">
        <f t="shared" si="54"/>
        <v>23.080000000000013</v>
      </c>
      <c r="I1188">
        <f t="shared" si="55"/>
        <v>35.08</v>
      </c>
      <c r="J1188" s="6"/>
      <c r="K1188" s="6"/>
      <c r="L1188" s="6"/>
      <c r="M1188" s="6"/>
      <c r="N1188" s="6"/>
    </row>
    <row r="1189" spans="1:14">
      <c r="A1189" s="5">
        <v>46304</v>
      </c>
      <c r="B1189" s="6">
        <v>1.6633</v>
      </c>
      <c r="C1189" s="6">
        <v>1.744</v>
      </c>
      <c r="D1189" s="6">
        <v>1.8972</v>
      </c>
      <c r="E1189" s="6">
        <v>2.105</v>
      </c>
      <c r="F1189" s="6">
        <v>1.6548</v>
      </c>
      <c r="G1189" s="6">
        <v>1.7504</v>
      </c>
      <c r="H1189">
        <f t="shared" si="54"/>
        <v>24.239999999999995</v>
      </c>
      <c r="I1189">
        <f t="shared" si="55"/>
        <v>35.46</v>
      </c>
      <c r="J1189" s="6"/>
      <c r="K1189" s="6"/>
      <c r="L1189" s="6"/>
      <c r="M1189" s="6"/>
      <c r="N1189" s="6"/>
    </row>
    <row r="1190" spans="1:14">
      <c r="A1190" s="5">
        <v>46305</v>
      </c>
      <c r="B1190" s="6">
        <v>1.6652</v>
      </c>
      <c r="C1190" s="6">
        <v>1.7474000000000001</v>
      </c>
      <c r="D1190" s="6">
        <v>1.9014</v>
      </c>
      <c r="E1190" s="6">
        <v>2.11</v>
      </c>
      <c r="F1190" s="6">
        <v>1.65</v>
      </c>
      <c r="G1190" s="6">
        <v>1.7494000000000001</v>
      </c>
      <c r="H1190">
        <f t="shared" si="54"/>
        <v>25.140000000000008</v>
      </c>
      <c r="I1190">
        <f t="shared" si="55"/>
        <v>36.059999999999981</v>
      </c>
      <c r="J1190" s="6"/>
      <c r="K1190" s="6"/>
      <c r="L1190" s="6"/>
      <c r="M1190" s="6"/>
      <c r="N1190" s="6"/>
    </row>
    <row r="1191" spans="1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1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1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1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1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1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1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1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1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1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66" activePane="bottomRight" state="frozen"/>
      <selection pane="topRight" activeCell="B1" sqref="B1"/>
      <selection pane="bottomLeft" activeCell="A3" sqref="A3"/>
      <selection pane="bottomRight" activeCell="A1122" sqref="A1122:H1190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90" si="138">AVERAGE(B1120:B1161)</f>
        <v>1.2284350749777257</v>
      </c>
      <c r="D1161" s="14">
        <f t="shared" ref="D1161:D1190" si="139">(B1161/C1161-1)*100</f>
        <v>0.56171602954160349</v>
      </c>
      <c r="E1161" s="14">
        <f t="shared" ref="E1161:E1190" si="140">AVERAGE(D1141:D1161)</f>
        <v>0.44454884273680007</v>
      </c>
      <c r="F1161" s="15" t="str">
        <f t="shared" ref="F1161:F1190" si="141">IF(E1161&gt;0,"上升","下降")</f>
        <v>上升</v>
      </c>
      <c r="G1161" s="14">
        <f t="shared" ref="G1161:G1190" si="142">D1161-D1148</f>
        <v>0.21133234367454179</v>
      </c>
      <c r="H1161" s="1" t="str">
        <f t="shared" ref="H1161:H1190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>
        <f>财富指数—趋势!A1172</f>
        <v>46274</v>
      </c>
      <c r="B1172" s="12">
        <f>财富指数—趋势!I1172/财富指数—趋势!H1172</f>
        <v>1.2363376298493942</v>
      </c>
      <c r="C1172" s="12">
        <f t="shared" si="138"/>
        <v>1.2312851867729657</v>
      </c>
      <c r="D1172" s="14">
        <f t="shared" si="139"/>
        <v>0.41033898001081592</v>
      </c>
      <c r="E1172" s="14">
        <f t="shared" si="140"/>
        <v>0.49904333147308561</v>
      </c>
      <c r="F1172" s="15" t="str">
        <f t="shared" si="141"/>
        <v>上升</v>
      </c>
      <c r="G1172" s="14">
        <f t="shared" si="142"/>
        <v>-0.12878656394987864</v>
      </c>
      <c r="H1172" s="1" t="str">
        <f t="shared" si="143"/>
        <v>减弱</v>
      </c>
    </row>
    <row r="1173" spans="1:8">
      <c r="A1173" s="3">
        <f>财富指数—趋势!A1173</f>
        <v>46275</v>
      </c>
      <c r="B1173" s="12">
        <f>财富指数—趋势!I1173/财富指数—趋势!H1173</f>
        <v>1.2366970737967526</v>
      </c>
      <c r="C1173" s="12">
        <f t="shared" si="138"/>
        <v>1.2315640341946292</v>
      </c>
      <c r="D1173" s="14">
        <f t="shared" si="139"/>
        <v>0.41679031374768361</v>
      </c>
      <c r="E1173" s="14">
        <f t="shared" si="140"/>
        <v>0.49722759028531122</v>
      </c>
      <c r="F1173" s="15" t="str">
        <f t="shared" si="141"/>
        <v>上升</v>
      </c>
      <c r="G1173" s="14">
        <f t="shared" si="142"/>
        <v>-0.14678309784137422</v>
      </c>
      <c r="H1173" s="1" t="str">
        <f t="shared" si="143"/>
        <v>减弱</v>
      </c>
    </row>
    <row r="1174" spans="1:8">
      <c r="A1174" s="3">
        <f>财富指数—趋势!A1174</f>
        <v>46276</v>
      </c>
      <c r="B1174" s="12">
        <f>财富指数—趋势!I1174/财富指数—趋势!H1174</f>
        <v>1.2366524826062419</v>
      </c>
      <c r="C1174" s="12">
        <f t="shared" si="138"/>
        <v>1.2318284622780955</v>
      </c>
      <c r="D1174" s="14">
        <f t="shared" si="139"/>
        <v>0.39161461809584797</v>
      </c>
      <c r="E1174" s="14">
        <f t="shared" si="140"/>
        <v>0.4925182598676428</v>
      </c>
      <c r="F1174" s="15" t="str">
        <f t="shared" si="141"/>
        <v>上升</v>
      </c>
      <c r="G1174" s="14">
        <f t="shared" si="142"/>
        <v>-0.17010141144575552</v>
      </c>
      <c r="H1174" s="1" t="str">
        <f t="shared" si="143"/>
        <v>减弱</v>
      </c>
    </row>
    <row r="1175" spans="1:8">
      <c r="A1175" s="3">
        <f>财富指数—趋势!A1175</f>
        <v>46279</v>
      </c>
      <c r="B1175" s="12">
        <f>财富指数—趋势!I1175/财富指数—趋势!H1175</f>
        <v>1.2365830786864094</v>
      </c>
      <c r="C1175" s="12">
        <f t="shared" si="138"/>
        <v>1.2320919029812427</v>
      </c>
      <c r="D1175" s="14">
        <f t="shared" si="139"/>
        <v>0.36451629089515603</v>
      </c>
      <c r="E1175" s="14">
        <f t="shared" si="140"/>
        <v>0.48573280689621712</v>
      </c>
      <c r="F1175" s="15" t="str">
        <f t="shared" si="141"/>
        <v>上升</v>
      </c>
      <c r="G1175" s="14">
        <f t="shared" si="142"/>
        <v>-0.15491445744717502</v>
      </c>
      <c r="H1175" s="1" t="str">
        <f t="shared" si="143"/>
        <v>减弱</v>
      </c>
    </row>
    <row r="1176" spans="1:8">
      <c r="A1176" s="3">
        <f>财富指数—趋势!A1176</f>
        <v>46280</v>
      </c>
      <c r="B1176" s="12">
        <f>财富指数—趋势!I1176/财富指数—趋势!H1176</f>
        <v>1.2369439392537585</v>
      </c>
      <c r="C1176" s="12">
        <f t="shared" si="138"/>
        <v>1.2323563506854969</v>
      </c>
      <c r="D1176" s="14">
        <f t="shared" si="139"/>
        <v>0.37226152692844128</v>
      </c>
      <c r="E1176" s="14">
        <f t="shared" si="140"/>
        <v>0.47737242266529545</v>
      </c>
      <c r="F1176" s="15" t="str">
        <f t="shared" si="141"/>
        <v>上升</v>
      </c>
      <c r="G1176" s="14">
        <f t="shared" si="142"/>
        <v>-9.7585553952606041E-2</v>
      </c>
      <c r="H1176" s="1" t="str">
        <f t="shared" si="143"/>
        <v>减弱</v>
      </c>
    </row>
    <row r="1177" spans="1:8">
      <c r="A1177" s="3">
        <f>财富指数—趋势!A1177</f>
        <v>46281</v>
      </c>
      <c r="B1177" s="12">
        <f>财富指数—趋势!I1177/财富指数—趋势!H1177</f>
        <v>1.2371786208414184</v>
      </c>
      <c r="C1177" s="12">
        <f t="shared" si="138"/>
        <v>1.2326291054431526</v>
      </c>
      <c r="D1177" s="14">
        <f t="shared" si="139"/>
        <v>0.36909037586210225</v>
      </c>
      <c r="E1177" s="14">
        <f t="shared" si="140"/>
        <v>0.46475630042390859</v>
      </c>
      <c r="F1177" s="15" t="str">
        <f t="shared" si="141"/>
        <v>上升</v>
      </c>
      <c r="G1177" s="14">
        <f t="shared" si="142"/>
        <v>-7.9737527119916329E-2</v>
      </c>
      <c r="H1177" s="1" t="str">
        <f t="shared" si="143"/>
        <v>减弱</v>
      </c>
    </row>
    <row r="1178" spans="1:8">
      <c r="A1178" s="3">
        <f>财富指数—趋势!A1178</f>
        <v>46282</v>
      </c>
      <c r="B1178" s="12">
        <f>财富指数—趋势!I1178/财富指数—趋势!H1178</f>
        <v>1.2377934890204612</v>
      </c>
      <c r="C1178" s="12">
        <f t="shared" si="138"/>
        <v>1.2329074256564159</v>
      </c>
      <c r="D1178" s="14">
        <f t="shared" si="139"/>
        <v>0.39630415571905164</v>
      </c>
      <c r="E1178" s="14">
        <f t="shared" si="140"/>
        <v>0.4522248440891542</v>
      </c>
      <c r="F1178" s="15" t="str">
        <f t="shared" si="141"/>
        <v>上升</v>
      </c>
      <c r="G1178" s="14">
        <f t="shared" si="142"/>
        <v>-6.6109330866548355E-2</v>
      </c>
      <c r="H1178" s="1" t="str">
        <f t="shared" si="143"/>
        <v>减弱</v>
      </c>
    </row>
    <row r="1179" spans="1:8">
      <c r="A1179" s="3">
        <f>财富指数—趋势!A1179</f>
        <v>46283</v>
      </c>
      <c r="B1179" s="12">
        <f>财富指数—趋势!I1179/财富指数—趋势!H1179</f>
        <v>1.2385250961944954</v>
      </c>
      <c r="C1179" s="12">
        <f t="shared" si="138"/>
        <v>1.2331902826426036</v>
      </c>
      <c r="D1179" s="14">
        <f t="shared" si="139"/>
        <v>0.4326026264543481</v>
      </c>
      <c r="E1179" s="14">
        <f t="shared" si="140"/>
        <v>0.44407203346305785</v>
      </c>
      <c r="F1179" s="15" t="str">
        <f t="shared" si="141"/>
        <v>上升</v>
      </c>
      <c r="G1179" s="14">
        <f t="shared" si="142"/>
        <v>-9.335427650114525E-3</v>
      </c>
      <c r="H1179" s="1" t="str">
        <f t="shared" si="143"/>
        <v>减弱</v>
      </c>
    </row>
    <row r="1180" spans="1:8">
      <c r="A1180" s="3">
        <f>财富指数—趋势!A1180</f>
        <v>46285</v>
      </c>
      <c r="B1180" s="12">
        <f>财富指数—趋势!I1180/财富指数—趋势!H1180</f>
        <v>1.239416352730857</v>
      </c>
      <c r="C1180" s="12">
        <f t="shared" si="138"/>
        <v>1.2334818782198784</v>
      </c>
      <c r="D1180" s="14">
        <f t="shared" si="139"/>
        <v>0.48111566256190397</v>
      </c>
      <c r="E1180" s="14">
        <f t="shared" si="140"/>
        <v>0.4413096581583536</v>
      </c>
      <c r="F1180" s="15" t="str">
        <f t="shared" si="141"/>
        <v>上升</v>
      </c>
      <c r="G1180" s="14">
        <f t="shared" si="142"/>
        <v>5.9110415358909485E-2</v>
      </c>
      <c r="H1180" s="1" t="str">
        <f t="shared" si="143"/>
        <v>领先</v>
      </c>
    </row>
    <row r="1181" spans="1:8">
      <c r="A1181" s="3">
        <f>财富指数—趋势!A1181</f>
        <v>46286</v>
      </c>
      <c r="B1181" s="12">
        <f>财富指数—趋势!I1181/财富指数—趋势!H1181</f>
        <v>1.2401276356536437</v>
      </c>
      <c r="C1181" s="12">
        <f t="shared" si="138"/>
        <v>1.2337827923849776</v>
      </c>
      <c r="D1181" s="14">
        <f t="shared" si="139"/>
        <v>0.51425934190580946</v>
      </c>
      <c r="E1181" s="14">
        <f t="shared" si="140"/>
        <v>0.43896136912581796</v>
      </c>
      <c r="F1181" s="15" t="str">
        <f t="shared" si="141"/>
        <v>上升</v>
      </c>
      <c r="G1181" s="14">
        <f t="shared" si="142"/>
        <v>6.9175372689911363E-2</v>
      </c>
      <c r="H1181" s="1" t="str">
        <f t="shared" si="143"/>
        <v>领先</v>
      </c>
    </row>
    <row r="1182" spans="1:8">
      <c r="A1182" s="3">
        <f>财富指数—趋势!A1182</f>
        <v>46287</v>
      </c>
      <c r="B1182" s="12">
        <f>财富指数—趋势!I1182/财富指数—趋势!H1182</f>
        <v>1.2411240712616023</v>
      </c>
      <c r="C1182" s="12">
        <f t="shared" si="138"/>
        <v>1.2341012978714108</v>
      </c>
      <c r="D1182" s="14">
        <f t="shared" si="139"/>
        <v>0.56905972000065308</v>
      </c>
      <c r="E1182" s="14">
        <f t="shared" si="140"/>
        <v>0.43931106867148695</v>
      </c>
      <c r="F1182" s="15" t="str">
        <f t="shared" si="141"/>
        <v>上升</v>
      </c>
      <c r="G1182" s="14">
        <f t="shared" si="142"/>
        <v>0.12824439825638301</v>
      </c>
      <c r="H1182" s="1" t="str">
        <f t="shared" si="143"/>
        <v>领先</v>
      </c>
    </row>
    <row r="1183" spans="1:8">
      <c r="A1183" s="3">
        <f>财富指数—趋势!A1183</f>
        <v>46288</v>
      </c>
      <c r="B1183" s="12">
        <f>财富指数—趋势!I1183/财富指数—趋势!H1183</f>
        <v>1.241910809266382</v>
      </c>
      <c r="C1183" s="12">
        <f t="shared" si="138"/>
        <v>1.2344295560802345</v>
      </c>
      <c r="D1183" s="14">
        <f t="shared" si="139"/>
        <v>0.60604942171857967</v>
      </c>
      <c r="E1183" s="14">
        <f t="shared" si="140"/>
        <v>0.44343576740368917</v>
      </c>
      <c r="F1183" s="15" t="str">
        <f t="shared" si="141"/>
        <v>上升</v>
      </c>
      <c r="G1183" s="14">
        <f t="shared" si="142"/>
        <v>0.16370392181102034</v>
      </c>
      <c r="H1183" s="1" t="str">
        <f t="shared" si="143"/>
        <v>领先</v>
      </c>
    </row>
    <row r="1184" spans="1:8">
      <c r="A1184" s="3">
        <f>财富指数—趋势!A1184</f>
        <v>46289</v>
      </c>
      <c r="B1184" s="12">
        <f>财富指数—趋势!I1184/财富指数—趋势!H1184</f>
        <v>1.2425761993874711</v>
      </c>
      <c r="C1184" s="12">
        <f t="shared" si="138"/>
        <v>1.2347799429937214</v>
      </c>
      <c r="D1184" s="14">
        <f t="shared" si="139"/>
        <v>0.63138832453397686</v>
      </c>
      <c r="E1184" s="14">
        <f t="shared" si="140"/>
        <v>0.45112820757763827</v>
      </c>
      <c r="F1184" s="15" t="str">
        <f t="shared" si="141"/>
        <v>上升</v>
      </c>
      <c r="G1184" s="14">
        <f t="shared" si="142"/>
        <v>0.21651680558074649</v>
      </c>
      <c r="H1184" s="1" t="str">
        <f t="shared" si="143"/>
        <v>领先</v>
      </c>
    </row>
    <row r="1185" spans="1:8">
      <c r="A1185" s="3">
        <f>财富指数—趋势!A1185</f>
        <v>46293</v>
      </c>
      <c r="B1185" s="12">
        <f>财富指数—趋势!I1185/财富指数—趋势!H1185</f>
        <v>1.2426801207489815</v>
      </c>
      <c r="C1185" s="12">
        <f t="shared" si="138"/>
        <v>1.2351228407128281</v>
      </c>
      <c r="D1185" s="14">
        <f t="shared" si="139"/>
        <v>0.61186464917060146</v>
      </c>
      <c r="E1185" s="14">
        <f t="shared" si="140"/>
        <v>0.45889186215804706</v>
      </c>
      <c r="F1185" s="15" t="str">
        <f t="shared" si="141"/>
        <v>上升</v>
      </c>
      <c r="G1185" s="14">
        <f t="shared" si="142"/>
        <v>0.20152566915978554</v>
      </c>
      <c r="H1185" s="1" t="str">
        <f t="shared" si="143"/>
        <v>领先</v>
      </c>
    </row>
    <row r="1186" spans="1:8">
      <c r="A1186" s="3">
        <f>财富指数—趋势!A1186</f>
        <v>46294</v>
      </c>
      <c r="B1186" s="12">
        <f>财富指数—趋势!I1186/财富指数—趋势!H1186</f>
        <v>1.2433910230002641</v>
      </c>
      <c r="C1186" s="12">
        <f t="shared" si="138"/>
        <v>1.2354705503733971</v>
      </c>
      <c r="D1186" s="14">
        <f t="shared" si="139"/>
        <v>0.64108955284065683</v>
      </c>
      <c r="E1186" s="14">
        <f t="shared" si="140"/>
        <v>0.46740024626543075</v>
      </c>
      <c r="F1186" s="15" t="str">
        <f t="shared" si="141"/>
        <v>上升</v>
      </c>
      <c r="G1186" s="14">
        <f t="shared" si="142"/>
        <v>0.22429923909297322</v>
      </c>
      <c r="H1186" s="1" t="str">
        <f t="shared" si="143"/>
        <v>领先</v>
      </c>
    </row>
    <row r="1187" spans="1:8">
      <c r="A1187" s="3">
        <f>财富指数—趋势!A1187</f>
        <v>46295</v>
      </c>
      <c r="B1187" s="12">
        <f>财富指数—趋势!I1187/财富指数—趋势!H1187</f>
        <v>1.2433845565379802</v>
      </c>
      <c r="C1187" s="12">
        <f t="shared" si="138"/>
        <v>1.2358119612943621</v>
      </c>
      <c r="D1187" s="14">
        <f t="shared" si="139"/>
        <v>0.61276274067509906</v>
      </c>
      <c r="E1187" s="14">
        <f t="shared" si="140"/>
        <v>0.47553475514974658</v>
      </c>
      <c r="F1187" s="15" t="str">
        <f t="shared" si="141"/>
        <v>上升</v>
      </c>
      <c r="G1187" s="14">
        <f t="shared" si="142"/>
        <v>0.22114812257925109</v>
      </c>
      <c r="H1187" s="1" t="str">
        <f t="shared" si="143"/>
        <v>领先</v>
      </c>
    </row>
    <row r="1188" spans="1:8">
      <c r="A1188" s="3">
        <f>财富指数—趋势!A1188</f>
        <v>46303</v>
      </c>
      <c r="B1188" s="12">
        <f>财富指数—趋势!I1188/财富指数—趋势!H1188</f>
        <v>1.243513655214328</v>
      </c>
      <c r="C1188" s="12">
        <f t="shared" si="138"/>
        <v>1.2361651890627798</v>
      </c>
      <c r="D1188" s="14">
        <f t="shared" si="139"/>
        <v>0.59445664839661294</v>
      </c>
      <c r="E1188" s="14">
        <f t="shared" si="140"/>
        <v>0.48374672663515705</v>
      </c>
      <c r="F1188" s="15" t="str">
        <f t="shared" si="141"/>
        <v>上升</v>
      </c>
      <c r="G1188" s="14">
        <f t="shared" si="142"/>
        <v>0.22994035750145692</v>
      </c>
      <c r="H1188" s="1" t="str">
        <f t="shared" si="143"/>
        <v>领先</v>
      </c>
    </row>
    <row r="1189" spans="1:8">
      <c r="A1189" s="3">
        <f>财富指数—趋势!A1189</f>
        <v>46304</v>
      </c>
      <c r="B1189" s="12">
        <f>财富指数—趋势!I1189/财富指数—趋势!H1189</f>
        <v>1.2437414448725492</v>
      </c>
      <c r="C1189" s="12">
        <f t="shared" si="138"/>
        <v>1.236521144027559</v>
      </c>
      <c r="D1189" s="14">
        <f t="shared" si="139"/>
        <v>0.58392053220153173</v>
      </c>
      <c r="E1189" s="14">
        <f t="shared" si="140"/>
        <v>0.49035799153923471</v>
      </c>
      <c r="F1189" s="15" t="str">
        <f t="shared" si="141"/>
        <v>上升</v>
      </c>
      <c r="G1189" s="14">
        <f t="shared" si="142"/>
        <v>0.21165900527309045</v>
      </c>
      <c r="H1189" s="1" t="str">
        <f t="shared" si="143"/>
        <v>领先</v>
      </c>
    </row>
    <row r="1190" spans="1:8">
      <c r="A1190" s="3">
        <f>财富指数—趋势!A1190</f>
        <v>46305</v>
      </c>
      <c r="B1190" s="12">
        <f>财富指数—趋势!I1190/财富指数—趋势!H1190</f>
        <v>1.2434714146278278</v>
      </c>
      <c r="C1190" s="12">
        <f t="shared" si="138"/>
        <v>1.2368545081344282</v>
      </c>
      <c r="D1190" s="14">
        <f t="shared" si="139"/>
        <v>0.53497856456699022</v>
      </c>
      <c r="E1190" s="14">
        <f t="shared" si="140"/>
        <v>0.49484195548317395</v>
      </c>
      <c r="F1190" s="15" t="str">
        <f t="shared" si="141"/>
        <v>上升</v>
      </c>
      <c r="G1190" s="14">
        <f t="shared" si="142"/>
        <v>0.16588818870488797</v>
      </c>
      <c r="H1190" s="1" t="str">
        <f t="shared" si="143"/>
        <v>领先</v>
      </c>
    </row>
    <row r="1191" spans="1:8">
      <c r="A1191" s="3"/>
    </row>
    <row r="1192" spans="1:8">
      <c r="A1192" s="3"/>
    </row>
    <row r="1193" spans="1:8">
      <c r="A1193" s="3"/>
    </row>
    <row r="1194" spans="1:8">
      <c r="A1194" s="3"/>
    </row>
    <row r="1195" spans="1:8">
      <c r="A1195" s="3"/>
    </row>
    <row r="1196" spans="1:8">
      <c r="A1196" s="3"/>
    </row>
    <row r="1197" spans="1:8">
      <c r="A1197" s="3"/>
    </row>
    <row r="1198" spans="1:8">
      <c r="A1198" s="3"/>
    </row>
    <row r="1199" spans="1:8">
      <c r="A1199" s="3"/>
    </row>
    <row r="1200" spans="1:8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91"/>
  <sheetViews>
    <sheetView workbookViewId="0">
      <pane xSplit="1" ySplit="3" topLeftCell="I1169" activePane="bottomRight" state="frozen"/>
      <selection pane="topRight" activeCell="B1" sqref="B1"/>
      <selection pane="bottomLeft" activeCell="A4" sqref="A4"/>
      <selection pane="bottomRight" activeCell="A1158" sqref="A1158:R1191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86" si="301">AVERAGE(B1101:B1160)</f>
        <v>2.0772166666666667</v>
      </c>
      <c r="D1160" s="14">
        <f t="shared" ref="D1160:D1186" si="302">STDEV(B1101:B1160)</f>
        <v>2.3951824293895654E-2</v>
      </c>
      <c r="E1160" s="14">
        <f t="shared" ref="E1160:E1186" si="303">C1160+2*D1160</f>
        <v>2.125120315254458</v>
      </c>
      <c r="F1160" s="14">
        <f t="shared" ref="F1160:F1186" si="304">C1160-2*D1160</f>
        <v>2.0293130180788754</v>
      </c>
      <c r="G1160" s="17">
        <f t="shared" ref="G1160:G1186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86" si="306">AVERAGE(H1101:H1160)</f>
        <v>40.127833333333328</v>
      </c>
      <c r="J1160" s="17">
        <f t="shared" ref="J1160:J1186" si="307">STDEV(H1101:H1160)</f>
        <v>1.6091929671887493</v>
      </c>
      <c r="K1160" s="17">
        <f t="shared" ref="K1160:K1186" si="308">I1160+2*J1160</f>
        <v>43.346219267710829</v>
      </c>
      <c r="L1160" s="17">
        <f t="shared" ref="L1160:L1186" si="309">I1160-2*J1160</f>
        <v>36.909447398955827</v>
      </c>
      <c r="M1160" s="17">
        <f t="shared" ref="M1160:M1186" si="310">IF(AND(K1160&lt;&gt;L1160,NOT(ISBLANK(H1160))),100*(H1160-L1160)/(K1160-L1160),"")</f>
        <v>17.874683529318787</v>
      </c>
      <c r="N1160" s="17">
        <f t="shared" ref="N1160:N1186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86" si="312">AVERAGE(O1160:P1160)</f>
        <v>8.249999999999999E-2</v>
      </c>
      <c r="R1160" s="1" t="str">
        <f t="shared" ref="R1160:R1186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>
        <f>信用曲线—价格!A1172</f>
        <v>46274</v>
      </c>
      <c r="B1173" s="14">
        <f>信用曲线—价格!D1172</f>
        <v>1.9754</v>
      </c>
      <c r="C1173" s="14">
        <f t="shared" si="301"/>
        <v>2.0587766666666663</v>
      </c>
      <c r="D1173" s="14">
        <f t="shared" si="302"/>
        <v>3.7167770650675891E-2</v>
      </c>
      <c r="E1173" s="14">
        <f t="shared" si="303"/>
        <v>2.133112207968018</v>
      </c>
      <c r="F1173" s="14">
        <f t="shared" si="304"/>
        <v>1.9844411253653145</v>
      </c>
      <c r="G1173" s="17">
        <f t="shared" si="305"/>
        <v>-6.0812938246203485</v>
      </c>
      <c r="H1173" s="17">
        <f>信用曲线—价格!H1172</f>
        <v>31.120000000000015</v>
      </c>
      <c r="I1173" s="17">
        <f t="shared" si="306"/>
        <v>39.090166666666661</v>
      </c>
      <c r="J1173" s="17">
        <f t="shared" si="307"/>
        <v>3.1157236511052311</v>
      </c>
      <c r="K1173" s="17">
        <f t="shared" si="308"/>
        <v>45.321613968877124</v>
      </c>
      <c r="L1173" s="17">
        <f t="shared" si="309"/>
        <v>32.858719364456199</v>
      </c>
      <c r="M1173" s="17">
        <f t="shared" si="310"/>
        <v>-13.95116800425652</v>
      </c>
      <c r="N1173" s="17">
        <f t="shared" si="311"/>
        <v>-10.016230914438434</v>
      </c>
      <c r="O1173" s="18">
        <f>IFERROR(_xlfn.PERCENTRANK.EXC(INDEX(B:B, MAX(4, ROW()-251)):INDEX(B:B, ROW()), B1173), "")</f>
        <v>3.0000000000000001E-3</v>
      </c>
      <c r="P1173" s="18">
        <f>IFERROR(_xlfn.PERCENTRANK.EXC(INDEX(H:H, MAX(4, ROW()-251)):INDEX(H:H, ROW()), H1173), "")</f>
        <v>3.0000000000000001E-3</v>
      </c>
      <c r="Q1173">
        <f t="shared" si="312"/>
        <v>3.0000000000000001E-3</v>
      </c>
      <c r="R1173" s="1" t="str">
        <f t="shared" si="313"/>
        <v>贵</v>
      </c>
    </row>
    <row r="1174" spans="1:18">
      <c r="A1174" s="3">
        <f>信用曲线—价格!A1173</f>
        <v>46275</v>
      </c>
      <c r="B1174" s="14">
        <f>信用曲线—价格!D1173</f>
        <v>1.9601999999999999</v>
      </c>
      <c r="C1174" s="14">
        <f t="shared" si="301"/>
        <v>2.0562983333333329</v>
      </c>
      <c r="D1174" s="14">
        <f t="shared" si="302"/>
        <v>3.8695164554334263E-2</v>
      </c>
      <c r="E1174" s="14">
        <f t="shared" si="303"/>
        <v>2.1336886624420015</v>
      </c>
      <c r="F1174" s="14">
        <f t="shared" si="304"/>
        <v>1.9789080042246643</v>
      </c>
      <c r="G1174" s="17">
        <f t="shared" si="305"/>
        <v>-12.086784253362756</v>
      </c>
      <c r="H1174" s="17">
        <f>信用曲线—价格!H1173</f>
        <v>29.349999999999987</v>
      </c>
      <c r="I1174" s="17">
        <f t="shared" si="306"/>
        <v>38.888499999999993</v>
      </c>
      <c r="J1174" s="17">
        <f t="shared" si="307"/>
        <v>3.343646048598012</v>
      </c>
      <c r="K1174" s="17">
        <f t="shared" si="308"/>
        <v>45.575792097196015</v>
      </c>
      <c r="L1174" s="17">
        <f t="shared" si="309"/>
        <v>32.201207902803972</v>
      </c>
      <c r="M1174" s="17">
        <f t="shared" si="310"/>
        <v>-21.318105006954127</v>
      </c>
      <c r="N1174" s="17">
        <f t="shared" si="311"/>
        <v>-16.702444630158443</v>
      </c>
      <c r="O1174" s="18">
        <f>IFERROR(_xlfn.PERCENTRANK.EXC(INDEX(B:B, MAX(4, ROW()-251)):INDEX(B:B, ROW()), B1174), "")</f>
        <v>3.0000000000000001E-3</v>
      </c>
      <c r="P1174" s="18">
        <f>IFERROR(_xlfn.PERCENTRANK.EXC(INDEX(H:H, MAX(4, ROW()-251)):INDEX(H:H, ROW()), H1174), "")</f>
        <v>3.0000000000000001E-3</v>
      </c>
      <c r="Q1174">
        <f t="shared" si="312"/>
        <v>3.0000000000000001E-3</v>
      </c>
      <c r="R1174" s="1" t="str">
        <f t="shared" si="313"/>
        <v>贵</v>
      </c>
    </row>
    <row r="1175" spans="1:18">
      <c r="A1175" s="3">
        <f>信用曲线—价格!A1174</f>
        <v>46276</v>
      </c>
      <c r="B1175" s="14">
        <f>信用曲线—价格!D1174</f>
        <v>1.9652000000000001</v>
      </c>
      <c r="C1175" s="14">
        <f t="shared" si="301"/>
        <v>2.0538799999999995</v>
      </c>
      <c r="D1175" s="14">
        <f t="shared" si="302"/>
        <v>3.9781917363954991E-2</v>
      </c>
      <c r="E1175" s="14">
        <f t="shared" si="303"/>
        <v>2.1334438347279097</v>
      </c>
      <c r="F1175" s="14">
        <f t="shared" si="304"/>
        <v>1.9743161652720895</v>
      </c>
      <c r="G1175" s="17">
        <f t="shared" si="305"/>
        <v>-5.7288372935169924</v>
      </c>
      <c r="H1175" s="17">
        <f>信用曲线—价格!H1174</f>
        <v>29.220000000000002</v>
      </c>
      <c r="I1175" s="17">
        <f t="shared" si="306"/>
        <v>38.671333333333322</v>
      </c>
      <c r="J1175" s="17">
        <f t="shared" si="307"/>
        <v>3.5390525719950316</v>
      </c>
      <c r="K1175" s="17">
        <f t="shared" si="308"/>
        <v>45.749438477323388</v>
      </c>
      <c r="L1175" s="17">
        <f t="shared" si="309"/>
        <v>31.593228189343257</v>
      </c>
      <c r="M1175" s="17">
        <f t="shared" si="310"/>
        <v>-16.764572869889722</v>
      </c>
      <c r="N1175" s="17">
        <f t="shared" si="311"/>
        <v>-11.246705081703357</v>
      </c>
      <c r="O1175" s="18">
        <f>IFERROR(_xlfn.PERCENTRANK.EXC(INDEX(B:B, MAX(4, ROW()-251)):INDEX(B:B, ROW()), B1175), "")</f>
        <v>7.0000000000000001E-3</v>
      </c>
      <c r="P1175" s="18">
        <f>IFERROR(_xlfn.PERCENTRANK.EXC(INDEX(H:H, MAX(4, ROW()-251)):INDEX(H:H, ROW()), H1175), "")</f>
        <v>3.0000000000000001E-3</v>
      </c>
      <c r="Q1175">
        <f t="shared" si="312"/>
        <v>5.0000000000000001E-3</v>
      </c>
      <c r="R1175" s="1" t="str">
        <f t="shared" si="313"/>
        <v>贵</v>
      </c>
    </row>
    <row r="1176" spans="1:18">
      <c r="A1176" s="3">
        <f>信用曲线—价格!A1175</f>
        <v>46279</v>
      </c>
      <c r="B1176" s="14">
        <f>信用曲线—价格!D1175</f>
        <v>1.9683999999999999</v>
      </c>
      <c r="C1176" s="14">
        <f t="shared" si="301"/>
        <v>2.0515716666666663</v>
      </c>
      <c r="D1176" s="14">
        <f t="shared" si="302"/>
        <v>4.0661784380909179E-2</v>
      </c>
      <c r="E1176" s="14">
        <f t="shared" si="303"/>
        <v>2.1328952354284847</v>
      </c>
      <c r="F1176" s="14">
        <f t="shared" si="304"/>
        <v>1.970248097904848</v>
      </c>
      <c r="G1176" s="17">
        <f t="shared" si="305"/>
        <v>-1.1362621765043381</v>
      </c>
      <c r="H1176" s="17">
        <f>信用曲线—价格!H1175</f>
        <v>29.669999999999995</v>
      </c>
      <c r="I1176" s="17">
        <f t="shared" si="306"/>
        <v>38.473499999999987</v>
      </c>
      <c r="J1176" s="17">
        <f t="shared" si="307"/>
        <v>3.7039034951919216</v>
      </c>
      <c r="K1176" s="17">
        <f t="shared" si="308"/>
        <v>45.881306990383834</v>
      </c>
      <c r="L1176" s="17">
        <f t="shared" si="309"/>
        <v>31.065693009616144</v>
      </c>
      <c r="M1176" s="17">
        <f t="shared" si="310"/>
        <v>-9.4204196426007982</v>
      </c>
      <c r="N1176" s="17">
        <f t="shared" si="311"/>
        <v>-5.2783409095525684</v>
      </c>
      <c r="O1176" s="18">
        <f>IFERROR(_xlfn.PERCENTRANK.EXC(INDEX(B:B, MAX(4, ROW()-251)):INDEX(B:B, ROW()), B1176), "")</f>
        <v>1.0999999999999999E-2</v>
      </c>
      <c r="P1176" s="18">
        <f>IFERROR(_xlfn.PERCENTRANK.EXC(INDEX(H:H, MAX(4, ROW()-251)):INDEX(H:H, ROW()), H1176), "")</f>
        <v>1.0999999999999999E-2</v>
      </c>
      <c r="Q1176">
        <f t="shared" si="312"/>
        <v>1.0999999999999999E-2</v>
      </c>
      <c r="R1176" s="1" t="str">
        <f t="shared" si="313"/>
        <v>贵</v>
      </c>
    </row>
    <row r="1177" spans="1:18">
      <c r="A1177" s="3">
        <f>信用曲线—价格!A1176</f>
        <v>46280</v>
      </c>
      <c r="B1177" s="14">
        <f>信用曲线—价格!D1176</f>
        <v>1.9612000000000001</v>
      </c>
      <c r="C1177" s="14">
        <f t="shared" si="301"/>
        <v>2.0491366666666662</v>
      </c>
      <c r="D1177" s="14">
        <f t="shared" si="302"/>
        <v>4.1630965360367984E-2</v>
      </c>
      <c r="E1177" s="14">
        <f t="shared" si="303"/>
        <v>2.132398597387402</v>
      </c>
      <c r="F1177" s="14">
        <f t="shared" si="304"/>
        <v>1.9658747359459301</v>
      </c>
      <c r="G1177" s="17">
        <f t="shared" si="305"/>
        <v>-2.807246904716457</v>
      </c>
      <c r="H1177" s="17">
        <f>信用曲线—价格!H1176</f>
        <v>29.150000000000009</v>
      </c>
      <c r="I1177" s="17">
        <f t="shared" si="306"/>
        <v>38.276833333333329</v>
      </c>
      <c r="J1177" s="17">
        <f t="shared" si="307"/>
        <v>3.8792999069885785</v>
      </c>
      <c r="K1177" s="17">
        <f t="shared" si="308"/>
        <v>46.035433147310485</v>
      </c>
      <c r="L1177" s="17">
        <f t="shared" si="309"/>
        <v>30.518233519356173</v>
      </c>
      <c r="M1177" s="17">
        <f t="shared" si="310"/>
        <v>-8.8175286273386853</v>
      </c>
      <c r="N1177" s="17">
        <f t="shared" si="311"/>
        <v>-5.8123877660275713</v>
      </c>
      <c r="O1177" s="18">
        <f>IFERROR(_xlfn.PERCENTRANK.EXC(INDEX(B:B, MAX(4, ROW()-251)):INDEX(B:B, ROW()), B1177), "")</f>
        <v>7.0000000000000001E-3</v>
      </c>
      <c r="P1177" s="18">
        <f>IFERROR(_xlfn.PERCENTRANK.EXC(INDEX(H:H, MAX(4, ROW()-251)):INDEX(H:H, ROW()), H1177), "")</f>
        <v>3.0000000000000001E-3</v>
      </c>
      <c r="Q1177">
        <f t="shared" si="312"/>
        <v>5.0000000000000001E-3</v>
      </c>
      <c r="R1177" s="1" t="str">
        <f t="shared" si="313"/>
        <v>贵</v>
      </c>
    </row>
    <row r="1178" spans="1:18">
      <c r="A1178" s="3">
        <f>信用曲线—价格!A1177</f>
        <v>46281</v>
      </c>
      <c r="B1178" s="14">
        <f>信用曲线—价格!D1177</f>
        <v>1.9633</v>
      </c>
      <c r="C1178" s="14">
        <f t="shared" si="301"/>
        <v>2.046653333333333</v>
      </c>
      <c r="D1178" s="14">
        <f t="shared" si="302"/>
        <v>4.2238910756799891E-2</v>
      </c>
      <c r="E1178" s="14">
        <f t="shared" si="303"/>
        <v>2.1311311548469329</v>
      </c>
      <c r="F1178" s="14">
        <f t="shared" si="304"/>
        <v>1.9621755118197333</v>
      </c>
      <c r="G1178" s="17">
        <f t="shared" si="305"/>
        <v>0.66555230717316294</v>
      </c>
      <c r="H1178" s="17">
        <f>信用曲线—价格!H1177</f>
        <v>29.560000000000009</v>
      </c>
      <c r="I1178" s="17">
        <f t="shared" si="306"/>
        <v>38.076666666666668</v>
      </c>
      <c r="J1178" s="17">
        <f t="shared" si="307"/>
        <v>4.0140079580148065</v>
      </c>
      <c r="K1178" s="17">
        <f t="shared" si="308"/>
        <v>46.104682582696284</v>
      </c>
      <c r="L1178" s="17">
        <f t="shared" si="309"/>
        <v>30.048650750637055</v>
      </c>
      <c r="M1178" s="17">
        <f t="shared" si="310"/>
        <v>-3.043409204392284</v>
      </c>
      <c r="N1178" s="17">
        <f t="shared" si="311"/>
        <v>-1.1889284486095606</v>
      </c>
      <c r="O1178" s="18">
        <f>IFERROR(_xlfn.PERCENTRANK.EXC(INDEX(B:B, MAX(4, ROW()-251)):INDEX(B:B, ROW()), B1178), "")</f>
        <v>1.0999999999999999E-2</v>
      </c>
      <c r="P1178" s="18">
        <f>IFERROR(_xlfn.PERCENTRANK.EXC(INDEX(H:H, MAX(4, ROW()-251)):INDEX(H:H, ROW()), H1178), "")</f>
        <v>1.4999999999999999E-2</v>
      </c>
      <c r="Q1178">
        <f t="shared" si="312"/>
        <v>1.2999999999999999E-2</v>
      </c>
      <c r="R1178" s="1" t="str">
        <f t="shared" si="313"/>
        <v>贵</v>
      </c>
    </row>
    <row r="1179" spans="1:18">
      <c r="A1179" s="3">
        <f>信用曲线—价格!A1178</f>
        <v>46282</v>
      </c>
      <c r="B1179" s="14">
        <f>信用曲线—价格!D1178</f>
        <v>1.9615</v>
      </c>
      <c r="C1179" s="14">
        <f t="shared" si="301"/>
        <v>2.0441949999999998</v>
      </c>
      <c r="D1179" s="14">
        <f t="shared" si="302"/>
        <v>4.2836858139390185E-2</v>
      </c>
      <c r="E1179" s="14">
        <f t="shared" si="303"/>
        <v>2.1298687162787799</v>
      </c>
      <c r="F1179" s="14">
        <f t="shared" si="304"/>
        <v>1.9585212837212194</v>
      </c>
      <c r="G1179" s="17">
        <f t="shared" si="305"/>
        <v>1.7384073016559618</v>
      </c>
      <c r="H1179" s="17">
        <f>信用曲线—价格!H1178</f>
        <v>29.65</v>
      </c>
      <c r="I1179" s="17">
        <f t="shared" si="306"/>
        <v>37.858499999999999</v>
      </c>
      <c r="J1179" s="17">
        <f t="shared" si="307"/>
        <v>4.110815756810501</v>
      </c>
      <c r="K1179" s="17">
        <f t="shared" si="308"/>
        <v>46.080131513620998</v>
      </c>
      <c r="L1179" s="17">
        <f t="shared" si="309"/>
        <v>29.636868486378997</v>
      </c>
      <c r="M1179" s="17">
        <f t="shared" si="310"/>
        <v>7.9859536390349983E-2</v>
      </c>
      <c r="N1179" s="17">
        <f t="shared" si="311"/>
        <v>0.90913341902315592</v>
      </c>
      <c r="O1179" s="18">
        <f>IFERROR(_xlfn.PERCENTRANK.EXC(INDEX(B:B, MAX(4, ROW()-251)):INDEX(B:B, ROW()), B1179), "")</f>
        <v>1.0999999999999999E-2</v>
      </c>
      <c r="P1179" s="18">
        <f>IFERROR(_xlfn.PERCENTRANK.EXC(INDEX(H:H, MAX(4, ROW()-251)):INDEX(H:H, ROW()), H1179), "")</f>
        <v>1.9E-2</v>
      </c>
      <c r="Q1179">
        <f t="shared" si="312"/>
        <v>1.4999999999999999E-2</v>
      </c>
      <c r="R1179" s="1" t="str">
        <f t="shared" si="313"/>
        <v>贵</v>
      </c>
    </row>
    <row r="1180" spans="1:18">
      <c r="A1180" s="3">
        <f>信用曲线—价格!A1179</f>
        <v>46283</v>
      </c>
      <c r="B1180" s="14">
        <f>信用曲线—价格!D1179</f>
        <v>1.9529000000000001</v>
      </c>
      <c r="C1180" s="14">
        <f t="shared" si="301"/>
        <v>2.0416266666666663</v>
      </c>
      <c r="D1180" s="14">
        <f t="shared" si="302"/>
        <v>4.361995293194746E-2</v>
      </c>
      <c r="E1180" s="14">
        <f t="shared" si="303"/>
        <v>2.1288665725305611</v>
      </c>
      <c r="F1180" s="14">
        <f t="shared" si="304"/>
        <v>1.9543867608027714</v>
      </c>
      <c r="G1180" s="17">
        <f t="shared" si="305"/>
        <v>-0.85211050381625686</v>
      </c>
      <c r="H1180" s="17">
        <f>信用曲线—价格!H1179</f>
        <v>29.42</v>
      </c>
      <c r="I1180" s="17">
        <f t="shared" si="306"/>
        <v>37.638999999999996</v>
      </c>
      <c r="J1180" s="17">
        <f t="shared" si="307"/>
        <v>4.204436599432178</v>
      </c>
      <c r="K1180" s="17">
        <f t="shared" si="308"/>
        <v>46.047873198864352</v>
      </c>
      <c r="L1180" s="17">
        <f t="shared" si="309"/>
        <v>29.23012680113564</v>
      </c>
      <c r="M1180" s="17">
        <f t="shared" si="310"/>
        <v>1.1290050068183022</v>
      </c>
      <c r="N1180" s="17">
        <f t="shared" si="311"/>
        <v>0.13844725150102266</v>
      </c>
      <c r="O1180" s="18">
        <f>IFERROR(_xlfn.PERCENTRANK.EXC(INDEX(B:B, MAX(4, ROW()-251)):INDEX(B:B, ROW()), B1180), "")</f>
        <v>3.0000000000000001E-3</v>
      </c>
      <c r="P1180" s="18">
        <f>IFERROR(_xlfn.PERCENTRANK.EXC(INDEX(H:H, MAX(4, ROW()-251)):INDEX(H:H, ROW()), H1180), "")</f>
        <v>1.4999999999999999E-2</v>
      </c>
      <c r="Q1180">
        <f t="shared" si="312"/>
        <v>8.9999999999999993E-3</v>
      </c>
      <c r="R1180" s="1" t="str">
        <f t="shared" si="313"/>
        <v>贵</v>
      </c>
    </row>
    <row r="1181" spans="1:18">
      <c r="A1181" s="3">
        <f>信用曲线—价格!A1180</f>
        <v>46285</v>
      </c>
      <c r="B1181" s="14">
        <f>信用曲线—价格!D1180</f>
        <v>1.9444999999999999</v>
      </c>
      <c r="C1181" s="14">
        <f t="shared" si="301"/>
        <v>2.0390599999999997</v>
      </c>
      <c r="D1181" s="14">
        <f t="shared" si="302"/>
        <v>4.4733308410578501E-2</v>
      </c>
      <c r="E1181" s="14">
        <f t="shared" si="303"/>
        <v>2.1285266168211567</v>
      </c>
      <c r="F1181" s="14">
        <f t="shared" si="304"/>
        <v>1.9495933831788426</v>
      </c>
      <c r="G1181" s="17">
        <f t="shared" si="305"/>
        <v>-2.8465272074746575</v>
      </c>
      <c r="H1181" s="17">
        <f>信用曲线—价格!H1180</f>
        <v>28.63</v>
      </c>
      <c r="I1181" s="17">
        <f t="shared" si="306"/>
        <v>37.388833333333331</v>
      </c>
      <c r="J1181" s="17">
        <f t="shared" si="307"/>
        <v>4.2870617695362885</v>
      </c>
      <c r="K1181" s="17">
        <f t="shared" si="308"/>
        <v>45.962956872405911</v>
      </c>
      <c r="L1181" s="17">
        <f t="shared" si="309"/>
        <v>28.814709794260754</v>
      </c>
      <c r="M1181" s="17">
        <f t="shared" si="310"/>
        <v>-1.077135134681847</v>
      </c>
      <c r="N1181" s="17">
        <f t="shared" si="311"/>
        <v>-1.9618311710782521</v>
      </c>
      <c r="O1181" s="18">
        <f>IFERROR(_xlfn.PERCENTRANK.EXC(INDEX(B:B, MAX(4, ROW()-251)):INDEX(B:B, ROW()), B1181), "")</f>
        <v>3.0000000000000001E-3</v>
      </c>
      <c r="P1181" s="18">
        <f>IFERROR(_xlfn.PERCENTRANK.EXC(INDEX(H:H, MAX(4, ROW()-251)):INDEX(H:H, ROW()), H1181), "")</f>
        <v>3.0000000000000001E-3</v>
      </c>
      <c r="Q1181">
        <f t="shared" si="312"/>
        <v>3.0000000000000001E-3</v>
      </c>
      <c r="R1181" s="1" t="str">
        <f t="shared" si="313"/>
        <v>贵</v>
      </c>
    </row>
    <row r="1182" spans="1:18">
      <c r="A1182" s="3">
        <f>信用曲线—价格!A1181</f>
        <v>46286</v>
      </c>
      <c r="B1182" s="14">
        <f>信用曲线—价格!D1181</f>
        <v>1.9218999999999999</v>
      </c>
      <c r="C1182" s="14">
        <f t="shared" si="301"/>
        <v>2.0361833333333328</v>
      </c>
      <c r="D1182" s="14">
        <f t="shared" si="302"/>
        <v>4.6617706560616576E-2</v>
      </c>
      <c r="E1182" s="14">
        <f t="shared" si="303"/>
        <v>2.129418746454566</v>
      </c>
      <c r="F1182" s="14">
        <f t="shared" si="304"/>
        <v>1.9429479202120996</v>
      </c>
      <c r="G1182" s="17">
        <f t="shared" si="305"/>
        <v>-11.287513782306753</v>
      </c>
      <c r="H1182" s="17">
        <f>信用曲线—价格!H1181</f>
        <v>26.580000000000005</v>
      </c>
      <c r="I1182" s="17">
        <f t="shared" si="306"/>
        <v>37.131999999999998</v>
      </c>
      <c r="J1182" s="17">
        <f t="shared" si="307"/>
        <v>4.4646585080183003</v>
      </c>
      <c r="K1182" s="17">
        <f t="shared" si="308"/>
        <v>46.061317016036597</v>
      </c>
      <c r="L1182" s="17">
        <f t="shared" si="309"/>
        <v>28.202682983963399</v>
      </c>
      <c r="M1182" s="17">
        <f t="shared" si="310"/>
        <v>-9.0862659543229203</v>
      </c>
      <c r="N1182" s="17">
        <f t="shared" si="311"/>
        <v>-10.186889868314836</v>
      </c>
      <c r="O1182" s="18">
        <f>IFERROR(_xlfn.PERCENTRANK.EXC(INDEX(B:B, MAX(4, ROW()-251)):INDEX(B:B, ROW()), B1182), "")</f>
        <v>3.0000000000000001E-3</v>
      </c>
      <c r="P1182" s="18">
        <f>IFERROR(_xlfn.PERCENTRANK.EXC(INDEX(H:H, MAX(4, ROW()-251)):INDEX(H:H, ROW()), H1182), "")</f>
        <v>3.0000000000000001E-3</v>
      </c>
      <c r="Q1182">
        <f t="shared" si="312"/>
        <v>3.0000000000000001E-3</v>
      </c>
      <c r="R1182" s="1" t="str">
        <f t="shared" si="313"/>
        <v>贵</v>
      </c>
    </row>
    <row r="1183" spans="1:18">
      <c r="A1183" s="3">
        <f>信用曲线—价格!A1182</f>
        <v>46287</v>
      </c>
      <c r="B1183" s="14">
        <f>信用曲线—价格!D1182</f>
        <v>1.9167000000000001</v>
      </c>
      <c r="C1183" s="14">
        <f t="shared" si="301"/>
        <v>2.033128333333333</v>
      </c>
      <c r="D1183" s="14">
        <f t="shared" si="302"/>
        <v>4.8339046545251139E-2</v>
      </c>
      <c r="E1183" s="14">
        <f t="shared" si="303"/>
        <v>2.1298064264238352</v>
      </c>
      <c r="F1183" s="14">
        <f t="shared" si="304"/>
        <v>1.9364502402428307</v>
      </c>
      <c r="G1183" s="17">
        <f t="shared" si="305"/>
        <v>-10.214434114014894</v>
      </c>
      <c r="H1183" s="17">
        <f>信用曲线—价格!H1182</f>
        <v>26.310000000000009</v>
      </c>
      <c r="I1183" s="17">
        <f t="shared" si="306"/>
        <v>36.886499999999998</v>
      </c>
      <c r="J1183" s="17">
        <f t="shared" si="307"/>
        <v>4.6473691573562084</v>
      </c>
      <c r="K1183" s="17">
        <f t="shared" si="308"/>
        <v>46.181238314712417</v>
      </c>
      <c r="L1183" s="17">
        <f t="shared" si="309"/>
        <v>27.59176168528758</v>
      </c>
      <c r="M1183" s="17">
        <f t="shared" si="310"/>
        <v>-6.8950929111081072</v>
      </c>
      <c r="N1183" s="17">
        <f t="shared" si="311"/>
        <v>-8.5547635125615002</v>
      </c>
      <c r="O1183" s="18">
        <f>IFERROR(_xlfn.PERCENTRANK.EXC(INDEX(B:B, MAX(4, ROW()-251)):INDEX(B:B, ROW()), B1183), "")</f>
        <v>3.0000000000000001E-3</v>
      </c>
      <c r="P1183" s="18">
        <f>IFERROR(_xlfn.PERCENTRANK.EXC(INDEX(H:H, MAX(4, ROW()-251)):INDEX(H:H, ROW()), H1183), "")</f>
        <v>3.0000000000000001E-3</v>
      </c>
      <c r="Q1183">
        <f t="shared" si="312"/>
        <v>3.0000000000000001E-3</v>
      </c>
      <c r="R1183" s="1" t="str">
        <f t="shared" si="313"/>
        <v>贵</v>
      </c>
    </row>
    <row r="1184" spans="1:18">
      <c r="A1184" s="3">
        <f>信用曲线—价格!A1183</f>
        <v>46288</v>
      </c>
      <c r="B1184" s="14">
        <f>信用曲线—价格!D1183</f>
        <v>1.9038999999999999</v>
      </c>
      <c r="C1184" s="14">
        <f t="shared" si="301"/>
        <v>2.0298416666666665</v>
      </c>
      <c r="D1184" s="14">
        <f t="shared" si="302"/>
        <v>5.0303287932660624E-2</v>
      </c>
      <c r="E1184" s="14">
        <f t="shared" si="303"/>
        <v>2.1304482425319877</v>
      </c>
      <c r="F1184" s="14">
        <f t="shared" si="304"/>
        <v>1.9292350908013454</v>
      </c>
      <c r="G1184" s="17">
        <f t="shared" si="305"/>
        <v>-12.591170399865669</v>
      </c>
      <c r="H1184" s="17">
        <f>信用曲线—价格!H1183</f>
        <v>24.879999999999992</v>
      </c>
      <c r="I1184" s="17">
        <f t="shared" si="306"/>
        <v>36.603666666666669</v>
      </c>
      <c r="J1184" s="17">
        <f t="shared" si="307"/>
        <v>4.8520559914981218</v>
      </c>
      <c r="K1184" s="17">
        <f t="shared" si="308"/>
        <v>46.307778649662914</v>
      </c>
      <c r="L1184" s="17">
        <f t="shared" si="309"/>
        <v>26.899554683670424</v>
      </c>
      <c r="M1184" s="17">
        <f t="shared" si="310"/>
        <v>-10.40566456368774</v>
      </c>
      <c r="N1184" s="17">
        <f t="shared" si="311"/>
        <v>-11.498417481776706</v>
      </c>
      <c r="O1184" s="18">
        <f>IFERROR(_xlfn.PERCENTRANK.EXC(INDEX(B:B, MAX(4, ROW()-251)):INDEX(B:B, ROW()), B1184), "")</f>
        <v>3.0000000000000001E-3</v>
      </c>
      <c r="P1184" s="18">
        <f>IFERROR(_xlfn.PERCENTRANK.EXC(INDEX(H:H, MAX(4, ROW()-251)):INDEX(H:H, ROW()), H1184), "")</f>
        <v>3.0000000000000001E-3</v>
      </c>
      <c r="Q1184">
        <f t="shared" si="312"/>
        <v>3.0000000000000001E-3</v>
      </c>
      <c r="R1184" s="1" t="str">
        <f t="shared" si="313"/>
        <v>贵</v>
      </c>
    </row>
    <row r="1185" spans="1:18">
      <c r="A1185" s="3">
        <f>信用曲线—价格!A1184</f>
        <v>46289</v>
      </c>
      <c r="B1185" s="14">
        <f>信用曲线—价格!D1184</f>
        <v>1.8985000000000001</v>
      </c>
      <c r="C1185" s="14">
        <f t="shared" si="301"/>
        <v>2.0265399999999993</v>
      </c>
      <c r="D1185" s="14">
        <f t="shared" si="302"/>
        <v>5.2308524761379621E-2</v>
      </c>
      <c r="E1185" s="14">
        <f t="shared" si="303"/>
        <v>2.1311570495227588</v>
      </c>
      <c r="F1185" s="14">
        <f t="shared" si="304"/>
        <v>1.9219229504772402</v>
      </c>
      <c r="G1185" s="17">
        <f t="shared" si="305"/>
        <v>-11.194614350189855</v>
      </c>
      <c r="H1185" s="17">
        <f>信用曲线—价格!H1184</f>
        <v>24.840000000000018</v>
      </c>
      <c r="I1185" s="17">
        <f t="shared" si="306"/>
        <v>36.326000000000008</v>
      </c>
      <c r="J1185" s="17">
        <f t="shared" si="307"/>
        <v>5.0401577860692255</v>
      </c>
      <c r="K1185" s="17">
        <f t="shared" si="308"/>
        <v>46.40631557213846</v>
      </c>
      <c r="L1185" s="17">
        <f t="shared" si="309"/>
        <v>26.245684427861555</v>
      </c>
      <c r="M1185" s="17">
        <f t="shared" si="310"/>
        <v>-6.9724227272546253</v>
      </c>
      <c r="N1185" s="17">
        <f t="shared" si="311"/>
        <v>-9.0835185387222399</v>
      </c>
      <c r="O1185" s="18">
        <f>IFERROR(_xlfn.PERCENTRANK.EXC(INDEX(B:B, MAX(4, ROW()-251)):INDEX(B:B, ROW()), B1185), "")</f>
        <v>3.0000000000000001E-3</v>
      </c>
      <c r="P1185" s="18">
        <f>IFERROR(_xlfn.PERCENTRANK.EXC(INDEX(H:H, MAX(4, ROW()-251)):INDEX(H:H, ROW()), H1185), "")</f>
        <v>3.0000000000000001E-3</v>
      </c>
      <c r="Q1185">
        <f t="shared" si="312"/>
        <v>3.0000000000000001E-3</v>
      </c>
      <c r="R1185" s="1" t="str">
        <f t="shared" si="313"/>
        <v>贵</v>
      </c>
    </row>
    <row r="1186" spans="1:18">
      <c r="A1186" s="3">
        <f>信用曲线—价格!A1185</f>
        <v>46293</v>
      </c>
      <c r="B1186" s="14">
        <f>信用曲线—价格!D1185</f>
        <v>1.8855</v>
      </c>
      <c r="C1186" s="14">
        <f t="shared" si="301"/>
        <v>2.0231066666666662</v>
      </c>
      <c r="D1186" s="14">
        <f t="shared" si="302"/>
        <v>5.4679332899439118E-2</v>
      </c>
      <c r="E1186" s="14">
        <f t="shared" si="303"/>
        <v>2.1324653324655443</v>
      </c>
      <c r="F1186" s="14">
        <f t="shared" si="304"/>
        <v>1.9137480008677878</v>
      </c>
      <c r="G1186" s="17">
        <f t="shared" si="305"/>
        <v>-12.915300612636798</v>
      </c>
      <c r="H1186" s="17">
        <f>信用曲线—价格!H1185</f>
        <v>23.219999999999995</v>
      </c>
      <c r="I1186" s="17">
        <f t="shared" si="306"/>
        <v>36.009500000000003</v>
      </c>
      <c r="J1186" s="17">
        <f t="shared" si="307"/>
        <v>5.2560275084412895</v>
      </c>
      <c r="K1186" s="17">
        <f t="shared" si="308"/>
        <v>46.52155501688258</v>
      </c>
      <c r="L1186" s="17">
        <f t="shared" si="309"/>
        <v>25.497444983117425</v>
      </c>
      <c r="M1186" s="17">
        <f t="shared" si="310"/>
        <v>-10.832539305872194</v>
      </c>
      <c r="N1186" s="17">
        <f t="shared" si="311"/>
        <v>-11.873919959254497</v>
      </c>
      <c r="O1186" s="18">
        <f>IFERROR(_xlfn.PERCENTRANK.EXC(INDEX(B:B, MAX(4, ROW()-251)):INDEX(B:B, ROW()), B1186), "")</f>
        <v>3.0000000000000001E-3</v>
      </c>
      <c r="P1186" s="18">
        <f>IFERROR(_xlfn.PERCENTRANK.EXC(INDEX(H:H, MAX(4, ROW()-251)):INDEX(H:H, ROW()), H1186), "")</f>
        <v>3.0000000000000001E-3</v>
      </c>
      <c r="Q1186">
        <f t="shared" si="312"/>
        <v>3.0000000000000001E-3</v>
      </c>
      <c r="R1186" s="1" t="str">
        <f t="shared" si="313"/>
        <v>贵</v>
      </c>
    </row>
    <row r="1187" spans="1:18">
      <c r="A1187" s="3">
        <f>信用曲线—价格!A1186</f>
        <v>46294</v>
      </c>
      <c r="B1187" s="14">
        <f>信用曲线—价格!D1186</f>
        <v>1.8777999999999999</v>
      </c>
      <c r="C1187" s="14">
        <f t="shared" ref="C1187:C1191" si="314">AVERAGE(B1128:B1187)</f>
        <v>2.0195466666666659</v>
      </c>
      <c r="D1187" s="14">
        <f t="shared" ref="D1187:D1191" si="315">STDEV(B1128:B1187)</f>
        <v>5.7059227233019733E-2</v>
      </c>
      <c r="E1187" s="14">
        <f t="shared" ref="E1187:E1191" si="316">C1187+2*D1187</f>
        <v>2.1336651211327053</v>
      </c>
      <c r="F1187" s="14">
        <f t="shared" ref="F1187:F1191" si="317">C1187-2*D1187</f>
        <v>1.9054282122006265</v>
      </c>
      <c r="G1187" s="17">
        <f t="shared" ref="G1187:G1191" si="318">IF(AND(E1187&lt;&gt;F1187,NOT(ISBLANK(B1187))),100*(B1187-F1187)/(E1187-F1187),"")</f>
        <v>-12.10505887496422</v>
      </c>
      <c r="H1187" s="17">
        <f>信用曲线—价格!H1186</f>
        <v>23.799999999999997</v>
      </c>
      <c r="I1187" s="17">
        <f t="shared" ref="I1187:I1191" si="319">AVERAGE(H1128:H1187)</f>
        <v>35.70033333333334</v>
      </c>
      <c r="J1187" s="17">
        <f t="shared" ref="J1187:J1191" si="320">STDEV(H1128:H1187)</f>
        <v>5.4197670118997161</v>
      </c>
      <c r="K1187" s="17">
        <f t="shared" ref="K1187:K1191" si="321">I1187+2*J1187</f>
        <v>46.539867357132771</v>
      </c>
      <c r="L1187" s="17">
        <f t="shared" ref="L1187:L1191" si="322">I1187-2*J1187</f>
        <v>24.86079930953391</v>
      </c>
      <c r="M1187" s="17">
        <f t="shared" ref="M1187:M1191" si="323">IF(AND(K1187&lt;&gt;L1187,NOT(ISBLANK(H1187))),100*(H1187-L1187)/(K1187-L1187),"")</f>
        <v>-4.8931960876030605</v>
      </c>
      <c r="N1187" s="17">
        <f t="shared" ref="N1187:N1191" si="324">IF(AND(NOT(ISBLANK(G1187)),NOT(ISBLANK(M1187))),(G1187+M1187)/2,"")</f>
        <v>-8.4991274812836402</v>
      </c>
      <c r="O1187" s="18">
        <f>IFERROR(_xlfn.PERCENTRANK.EXC(INDEX(B:B, MAX(4, ROW()-251)):INDEX(B:B, ROW()), B1187), "")</f>
        <v>3.0000000000000001E-3</v>
      </c>
      <c r="P1187" s="18">
        <f>IFERROR(_xlfn.PERCENTRANK.EXC(INDEX(H:H, MAX(4, ROW()-251)):INDEX(H:H, ROW()), H1187), "")</f>
        <v>7.0000000000000001E-3</v>
      </c>
      <c r="Q1187">
        <f t="shared" ref="Q1187:Q1191" si="325">AVERAGE(O1187:P1187)</f>
        <v>5.0000000000000001E-3</v>
      </c>
      <c r="R1187" s="1" t="str">
        <f t="shared" ref="R1187:R1191" si="326">IF(Q1187="", "", IF(Q1187&gt;=0.55, "便宜", IF(Q1187&gt;=0.15, "中性", "贵")))</f>
        <v>贵</v>
      </c>
    </row>
    <row r="1188" spans="1:18">
      <c r="A1188" s="3">
        <f>信用曲线—价格!A1187</f>
        <v>46295</v>
      </c>
      <c r="B1188" s="14">
        <f>信用曲线—价格!D1187</f>
        <v>1.8842000000000001</v>
      </c>
      <c r="C1188" s="14">
        <f t="shared" si="314"/>
        <v>2.0162616666666664</v>
      </c>
      <c r="D1188" s="14">
        <f t="shared" si="315"/>
        <v>5.908157845241932E-2</v>
      </c>
      <c r="E1188" s="14">
        <f t="shared" si="316"/>
        <v>2.1344248235715049</v>
      </c>
      <c r="F1188" s="14">
        <f t="shared" si="317"/>
        <v>1.8980985097618277</v>
      </c>
      <c r="G1188" s="17">
        <f t="shared" si="318"/>
        <v>-5.8810673842357728</v>
      </c>
      <c r="H1188" s="17">
        <f>信用曲线—价格!H1187</f>
        <v>22.940000000000005</v>
      </c>
      <c r="I1188" s="17">
        <f t="shared" si="319"/>
        <v>35.387000000000008</v>
      </c>
      <c r="J1188" s="17">
        <f t="shared" si="320"/>
        <v>5.6049561300994108</v>
      </c>
      <c r="K1188" s="17">
        <f t="shared" si="321"/>
        <v>46.596912260198827</v>
      </c>
      <c r="L1188" s="17">
        <f t="shared" si="322"/>
        <v>24.177087739801188</v>
      </c>
      <c r="M1188" s="17">
        <f t="shared" si="323"/>
        <v>-5.517829716622785</v>
      </c>
      <c r="N1188" s="17">
        <f t="shared" si="324"/>
        <v>-5.6994485504292793</v>
      </c>
      <c r="O1188" s="18">
        <f>IFERROR(_xlfn.PERCENTRANK.EXC(INDEX(B:B, MAX(4, ROW()-251)):INDEX(B:B, ROW()), B1188), "")</f>
        <v>7.0000000000000001E-3</v>
      </c>
      <c r="P1188" s="18">
        <f>IFERROR(_xlfn.PERCENTRANK.EXC(INDEX(H:H, MAX(4, ROW()-251)):INDEX(H:H, ROW()), H1188), "")</f>
        <v>3.0000000000000001E-3</v>
      </c>
      <c r="Q1188">
        <f t="shared" si="325"/>
        <v>5.0000000000000001E-3</v>
      </c>
      <c r="R1188" s="1" t="str">
        <f t="shared" si="326"/>
        <v>贵</v>
      </c>
    </row>
    <row r="1189" spans="1:18">
      <c r="A1189" s="3">
        <f>信用曲线—价格!A1188</f>
        <v>46303</v>
      </c>
      <c r="B1189" s="14">
        <f>信用曲线—价格!D1188</f>
        <v>1.8906000000000001</v>
      </c>
      <c r="C1189" s="14">
        <f t="shared" si="314"/>
        <v>2.0131049999999999</v>
      </c>
      <c r="D1189" s="14">
        <f t="shared" si="315"/>
        <v>6.0657100762246764E-2</v>
      </c>
      <c r="E1189" s="14">
        <f t="shared" si="316"/>
        <v>2.1344192015244934</v>
      </c>
      <c r="F1189" s="14">
        <f t="shared" si="317"/>
        <v>1.8917907984755065</v>
      </c>
      <c r="G1189" s="17">
        <f t="shared" si="318"/>
        <v>-0.4907910452948831</v>
      </c>
      <c r="H1189" s="17">
        <f>信用曲线—价格!H1188</f>
        <v>23.080000000000013</v>
      </c>
      <c r="I1189" s="17">
        <f t="shared" si="319"/>
        <v>35.083500000000001</v>
      </c>
      <c r="J1189" s="17">
        <f t="shared" si="320"/>
        <v>5.7704780006453635</v>
      </c>
      <c r="K1189" s="17">
        <f t="shared" si="321"/>
        <v>46.624456001290724</v>
      </c>
      <c r="L1189" s="17">
        <f t="shared" si="322"/>
        <v>23.542543998709274</v>
      </c>
      <c r="M1189" s="17">
        <f t="shared" si="323"/>
        <v>-2.003924105843272</v>
      </c>
      <c r="N1189" s="17">
        <f t="shared" si="324"/>
        <v>-1.2473575755690776</v>
      </c>
      <c r="O1189" s="18">
        <f>IFERROR(_xlfn.PERCENTRANK.EXC(INDEX(B:B, MAX(4, ROW()-251)):INDEX(B:B, ROW()), B1189), "")</f>
        <v>1.4999999999999999E-2</v>
      </c>
      <c r="P1189" s="18">
        <f>IFERROR(_xlfn.PERCENTRANK.EXC(INDEX(H:H, MAX(4, ROW()-251)):INDEX(H:H, ROW()), H1189), "")</f>
        <v>7.0000000000000001E-3</v>
      </c>
      <c r="Q1189">
        <f t="shared" si="325"/>
        <v>1.0999999999999999E-2</v>
      </c>
      <c r="R1189" s="1" t="str">
        <f t="shared" si="326"/>
        <v>贵</v>
      </c>
    </row>
    <row r="1190" spans="1:18">
      <c r="A1190" s="3">
        <f>信用曲线—价格!A1189</f>
        <v>46304</v>
      </c>
      <c r="B1190" s="14">
        <f>信用曲线—价格!D1189</f>
        <v>1.8972</v>
      </c>
      <c r="C1190" s="14">
        <f t="shared" si="314"/>
        <v>2.0101616666666664</v>
      </c>
      <c r="D1190" s="14">
        <f t="shared" si="315"/>
        <v>6.1933266687612003E-2</v>
      </c>
      <c r="E1190" s="14">
        <f t="shared" si="316"/>
        <v>2.1340282000418904</v>
      </c>
      <c r="F1190" s="14">
        <f t="shared" si="317"/>
        <v>1.8862951332914424</v>
      </c>
      <c r="G1190" s="17">
        <f t="shared" si="318"/>
        <v>4.4018615890072299</v>
      </c>
      <c r="H1190" s="17">
        <f>信用曲线—价格!H1189</f>
        <v>24.239999999999995</v>
      </c>
      <c r="I1190" s="17">
        <f t="shared" si="319"/>
        <v>34.813833333333335</v>
      </c>
      <c r="J1190" s="17">
        <f t="shared" si="320"/>
        <v>5.8936142091528172</v>
      </c>
      <c r="K1190" s="17">
        <f t="shared" si="321"/>
        <v>46.601061751638966</v>
      </c>
      <c r="L1190" s="17">
        <f t="shared" si="322"/>
        <v>23.026604915027701</v>
      </c>
      <c r="M1190" s="17">
        <f t="shared" si="323"/>
        <v>5.1470754697850971</v>
      </c>
      <c r="N1190" s="17">
        <f t="shared" si="324"/>
        <v>4.7744685293961631</v>
      </c>
      <c r="O1190" s="18">
        <f>IFERROR(_xlfn.PERCENTRANK.EXC(INDEX(B:B, MAX(4, ROW()-251)):INDEX(B:B, ROW()), B1190), "")</f>
        <v>1.9E-2</v>
      </c>
      <c r="P1190" s="18">
        <f>IFERROR(_xlfn.PERCENTRANK.EXC(INDEX(H:H, MAX(4, ROW()-251)):INDEX(H:H, ROW()), H1190), "")</f>
        <v>1.9E-2</v>
      </c>
      <c r="Q1190">
        <f t="shared" si="325"/>
        <v>1.9E-2</v>
      </c>
      <c r="R1190" s="1" t="str">
        <f t="shared" si="326"/>
        <v>贵</v>
      </c>
    </row>
    <row r="1191" spans="1:18">
      <c r="A1191" s="3">
        <f>信用曲线—价格!A1190</f>
        <v>46305</v>
      </c>
      <c r="B1191" s="14">
        <f>信用曲线—价格!D1190</f>
        <v>1.9014</v>
      </c>
      <c r="C1191" s="14">
        <f t="shared" si="314"/>
        <v>2.0074116666666662</v>
      </c>
      <c r="D1191" s="14">
        <f t="shared" si="315"/>
        <v>6.3047015256619113E-2</v>
      </c>
      <c r="E1191" s="14">
        <f t="shared" si="316"/>
        <v>2.1335056971799045</v>
      </c>
      <c r="F1191" s="14">
        <f t="shared" si="317"/>
        <v>1.8813176361534278</v>
      </c>
      <c r="G1191" s="17">
        <f t="shared" si="318"/>
        <v>7.963249237426723</v>
      </c>
      <c r="H1191" s="17">
        <f>信用曲线—价格!H1190</f>
        <v>25.140000000000008</v>
      </c>
      <c r="I1191" s="17">
        <f t="shared" si="319"/>
        <v>34.574499999999993</v>
      </c>
      <c r="J1191" s="17">
        <f t="shared" si="320"/>
        <v>5.9908584102385642</v>
      </c>
      <c r="K1191" s="17">
        <f t="shared" si="321"/>
        <v>46.556216820477118</v>
      </c>
      <c r="L1191" s="17">
        <f t="shared" si="322"/>
        <v>22.592783179522865</v>
      </c>
      <c r="M1191" s="17">
        <f t="shared" si="323"/>
        <v>10.629598657029977</v>
      </c>
      <c r="N1191" s="17">
        <f t="shared" si="324"/>
        <v>9.2964239472283499</v>
      </c>
      <c r="O1191" s="18">
        <f>IFERROR(_xlfn.PERCENTRANK.EXC(INDEX(B:B, MAX(4, ROW()-251)):INDEX(B:B, ROW()), B1191), "")</f>
        <v>2.7E-2</v>
      </c>
      <c r="P1191" s="18">
        <f>IFERROR(_xlfn.PERCENTRANK.EXC(INDEX(H:H, MAX(4, ROW()-251)):INDEX(H:H, ROW()), H1191), "")</f>
        <v>3.1E-2</v>
      </c>
      <c r="Q1191">
        <f t="shared" si="325"/>
        <v>2.8999999999999998E-2</v>
      </c>
      <c r="R1191" s="1" t="str">
        <f t="shared" si="326"/>
        <v>贵</v>
      </c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91"/>
  <sheetViews>
    <sheetView tabSelected="1" workbookViewId="0">
      <pane xSplit="1" ySplit="3" topLeftCell="C1173" activePane="bottomRight" state="frozen"/>
      <selection pane="topRight" activeCell="B1" sqref="B1"/>
      <selection pane="bottomLeft" activeCell="A4" sqref="A4"/>
      <selection pane="bottomRight" activeCell="A1187" sqref="A1187:L1191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5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  <row r="1173" spans="1:12">
      <c r="A1173" s="21">
        <f>RRG趋势计算!A1172</f>
        <v>46274</v>
      </c>
      <c r="B1173" s="1" t="str">
        <f>RRG趋势计算!H1172</f>
        <v>减弱</v>
      </c>
      <c r="C1173" s="1" t="str">
        <f>价格指标计算!R1173</f>
        <v>贵</v>
      </c>
      <c r="D1173" s="1" t="str">
        <f>RRG趋势计算!F1172</f>
        <v>上升</v>
      </c>
      <c r="E1173" s="1" t="str">
        <f t="shared" si="73"/>
        <v>持仓</v>
      </c>
      <c r="I1173" s="1">
        <f>价格指标计算!B1173</f>
        <v>1.9754</v>
      </c>
      <c r="J1173" s="1">
        <f>价格指标计算!Q1173</f>
        <v>3.0000000000000001E-3</v>
      </c>
      <c r="K1173" s="1">
        <f>RRG趋势计算!D1172</f>
        <v>0.41033898001081592</v>
      </c>
      <c r="L1173" s="1">
        <f>RRG趋势计算!G1172</f>
        <v>-0.12878656394987864</v>
      </c>
    </row>
    <row r="1174" spans="1:12">
      <c r="A1174" s="21">
        <f>RRG趋势计算!A1173</f>
        <v>46275</v>
      </c>
      <c r="B1174" s="1" t="str">
        <f>RRG趋势计算!H1173</f>
        <v>减弱</v>
      </c>
      <c r="C1174" s="1" t="str">
        <f>价格指标计算!R1174</f>
        <v>贵</v>
      </c>
      <c r="D1174" s="1" t="str">
        <f>RRG趋势计算!F1173</f>
        <v>上升</v>
      </c>
      <c r="E1174" s="1" t="str">
        <f t="shared" si="73"/>
        <v>持仓</v>
      </c>
      <c r="I1174" s="1">
        <f>价格指标计算!B1174</f>
        <v>1.9601999999999999</v>
      </c>
      <c r="J1174" s="1">
        <f>价格指标计算!Q1174</f>
        <v>3.0000000000000001E-3</v>
      </c>
      <c r="K1174" s="1">
        <f>RRG趋势计算!D1173</f>
        <v>0.41679031374768361</v>
      </c>
      <c r="L1174" s="1">
        <f>RRG趋势计算!G1173</f>
        <v>-0.14678309784137422</v>
      </c>
    </row>
    <row r="1175" spans="1:12">
      <c r="A1175" s="21">
        <f>RRG趋势计算!A1174</f>
        <v>46276</v>
      </c>
      <c r="B1175" s="1" t="str">
        <f>RRG趋势计算!H1174</f>
        <v>减弱</v>
      </c>
      <c r="C1175" s="1" t="str">
        <f>价格指标计算!R1175</f>
        <v>贵</v>
      </c>
      <c r="D1175" s="1" t="str">
        <f>RRG趋势计算!F1174</f>
        <v>上升</v>
      </c>
      <c r="E1175" s="1" t="str">
        <f t="shared" si="73"/>
        <v>持仓</v>
      </c>
      <c r="I1175" s="1">
        <f>价格指标计算!B1175</f>
        <v>1.9652000000000001</v>
      </c>
      <c r="J1175" s="1">
        <f>价格指标计算!Q1175</f>
        <v>5.0000000000000001E-3</v>
      </c>
      <c r="K1175" s="1">
        <f>RRG趋势计算!D1174</f>
        <v>0.39161461809584797</v>
      </c>
      <c r="L1175" s="1">
        <f>RRG趋势计算!G1174</f>
        <v>-0.17010141144575552</v>
      </c>
    </row>
    <row r="1176" spans="1:12">
      <c r="A1176" s="21">
        <f>RRG趋势计算!A1175</f>
        <v>46279</v>
      </c>
      <c r="B1176" s="1" t="str">
        <f>RRG趋势计算!H1175</f>
        <v>减弱</v>
      </c>
      <c r="C1176" s="1" t="str">
        <f>价格指标计算!R1176</f>
        <v>贵</v>
      </c>
      <c r="D1176" s="1" t="str">
        <f>RRG趋势计算!F1175</f>
        <v>上升</v>
      </c>
      <c r="E1176" s="1" t="str">
        <f t="shared" ref="E1176:E1184" si="74">IF(OR(B1176="",C1176="",D1176=""),"",IF(D1176="上升","持仓",IF(AND(B1176="减弱",C1176="贵"),"空仓",IF(AND(B1176="减弱",C1176="中性"),"空仓",IF(AND(B1176="改善",C1176="贵"),"空仓",IF(B1176="滞后","空仓","持仓"))))))</f>
        <v>持仓</v>
      </c>
      <c r="I1176" s="1">
        <f>价格指标计算!B1176</f>
        <v>1.9683999999999999</v>
      </c>
      <c r="J1176" s="1">
        <f>价格指标计算!Q1176</f>
        <v>1.0999999999999999E-2</v>
      </c>
      <c r="K1176" s="1">
        <f>RRG趋势计算!D1175</f>
        <v>0.36451629089515603</v>
      </c>
      <c r="L1176" s="1">
        <f>RRG趋势计算!G1175</f>
        <v>-0.15491445744717502</v>
      </c>
    </row>
    <row r="1177" spans="1:12">
      <c r="A1177" s="21">
        <f>RRG趋势计算!A1176</f>
        <v>46280</v>
      </c>
      <c r="B1177" s="1" t="str">
        <f>RRG趋势计算!H1176</f>
        <v>减弱</v>
      </c>
      <c r="C1177" s="1" t="str">
        <f>价格指标计算!R1177</f>
        <v>贵</v>
      </c>
      <c r="D1177" s="1" t="str">
        <f>RRG趋势计算!F1176</f>
        <v>上升</v>
      </c>
      <c r="E1177" s="1" t="str">
        <f t="shared" si="74"/>
        <v>持仓</v>
      </c>
      <c r="I1177" s="1">
        <f>价格指标计算!B1177</f>
        <v>1.9612000000000001</v>
      </c>
      <c r="J1177" s="1">
        <f>价格指标计算!Q1177</f>
        <v>5.0000000000000001E-3</v>
      </c>
      <c r="K1177" s="1">
        <f>RRG趋势计算!D1176</f>
        <v>0.37226152692844128</v>
      </c>
      <c r="L1177" s="1">
        <f>RRG趋势计算!G1176</f>
        <v>-9.7585553952606041E-2</v>
      </c>
    </row>
    <row r="1178" spans="1:12">
      <c r="A1178" s="21">
        <f>RRG趋势计算!A1177</f>
        <v>46281</v>
      </c>
      <c r="B1178" s="1" t="str">
        <f>RRG趋势计算!H1177</f>
        <v>减弱</v>
      </c>
      <c r="C1178" s="1" t="str">
        <f>价格指标计算!R1178</f>
        <v>贵</v>
      </c>
      <c r="D1178" s="1" t="str">
        <f>RRG趋势计算!F1177</f>
        <v>上升</v>
      </c>
      <c r="E1178" s="1" t="str">
        <f t="shared" si="74"/>
        <v>持仓</v>
      </c>
      <c r="I1178" s="1">
        <f>价格指标计算!B1178</f>
        <v>1.9633</v>
      </c>
      <c r="J1178" s="1">
        <f>价格指标计算!Q1178</f>
        <v>1.2999999999999999E-2</v>
      </c>
      <c r="K1178" s="1">
        <f>RRG趋势计算!D1177</f>
        <v>0.36909037586210225</v>
      </c>
      <c r="L1178" s="1">
        <f>RRG趋势计算!G1177</f>
        <v>-7.9737527119916329E-2</v>
      </c>
    </row>
    <row r="1179" spans="1:12">
      <c r="A1179" s="21">
        <f>RRG趋势计算!A1178</f>
        <v>46282</v>
      </c>
      <c r="B1179" s="1" t="str">
        <f>RRG趋势计算!H1178</f>
        <v>减弱</v>
      </c>
      <c r="C1179" s="1" t="str">
        <f>价格指标计算!R1179</f>
        <v>贵</v>
      </c>
      <c r="D1179" s="1" t="str">
        <f>RRG趋势计算!F1178</f>
        <v>上升</v>
      </c>
      <c r="E1179" s="1" t="str">
        <f t="shared" si="74"/>
        <v>持仓</v>
      </c>
      <c r="I1179" s="1">
        <f>价格指标计算!B1179</f>
        <v>1.9615</v>
      </c>
      <c r="J1179" s="1">
        <f>价格指标计算!Q1179</f>
        <v>1.4999999999999999E-2</v>
      </c>
      <c r="K1179" s="1">
        <f>RRG趋势计算!D1178</f>
        <v>0.39630415571905164</v>
      </c>
      <c r="L1179" s="1">
        <f>RRG趋势计算!G1178</f>
        <v>-6.6109330866548355E-2</v>
      </c>
    </row>
    <row r="1180" spans="1:12">
      <c r="A1180" s="21">
        <f>RRG趋势计算!A1179</f>
        <v>46283</v>
      </c>
      <c r="B1180" s="1" t="str">
        <f>RRG趋势计算!H1179</f>
        <v>减弱</v>
      </c>
      <c r="C1180" s="1" t="str">
        <f>价格指标计算!R1180</f>
        <v>贵</v>
      </c>
      <c r="D1180" s="1" t="str">
        <f>RRG趋势计算!F1179</f>
        <v>上升</v>
      </c>
      <c r="E1180" s="1" t="str">
        <f t="shared" si="74"/>
        <v>持仓</v>
      </c>
      <c r="I1180" s="1">
        <f>价格指标计算!B1180</f>
        <v>1.9529000000000001</v>
      </c>
      <c r="J1180" s="1">
        <f>价格指标计算!Q1180</f>
        <v>8.9999999999999993E-3</v>
      </c>
      <c r="K1180" s="1">
        <f>RRG趋势计算!D1179</f>
        <v>0.4326026264543481</v>
      </c>
      <c r="L1180" s="1">
        <f>RRG趋势计算!G1179</f>
        <v>-9.335427650114525E-3</v>
      </c>
    </row>
    <row r="1181" spans="1:12">
      <c r="A1181" s="21">
        <f>RRG趋势计算!A1180</f>
        <v>46285</v>
      </c>
      <c r="B1181" s="1" t="str">
        <f>RRG趋势计算!H1180</f>
        <v>领先</v>
      </c>
      <c r="C1181" s="1" t="str">
        <f>价格指标计算!R1181</f>
        <v>贵</v>
      </c>
      <c r="D1181" s="1" t="str">
        <f>RRG趋势计算!F1180</f>
        <v>上升</v>
      </c>
      <c r="E1181" s="1" t="str">
        <f t="shared" si="74"/>
        <v>持仓</v>
      </c>
      <c r="I1181" s="1">
        <f>价格指标计算!B1181</f>
        <v>1.9444999999999999</v>
      </c>
      <c r="J1181" s="1">
        <f>价格指标计算!Q1181</f>
        <v>3.0000000000000001E-3</v>
      </c>
      <c r="K1181" s="1">
        <f>RRG趋势计算!D1180</f>
        <v>0.48111566256190397</v>
      </c>
      <c r="L1181" s="1">
        <f>RRG趋势计算!G1180</f>
        <v>5.9110415358909485E-2</v>
      </c>
    </row>
    <row r="1182" spans="1:12">
      <c r="A1182" s="21">
        <f>RRG趋势计算!A1181</f>
        <v>46286</v>
      </c>
      <c r="B1182" s="1" t="str">
        <f>RRG趋势计算!H1181</f>
        <v>领先</v>
      </c>
      <c r="C1182" s="1" t="str">
        <f>价格指标计算!R1182</f>
        <v>贵</v>
      </c>
      <c r="D1182" s="1" t="str">
        <f>RRG趋势计算!F1181</f>
        <v>上升</v>
      </c>
      <c r="E1182" s="1" t="str">
        <f t="shared" si="74"/>
        <v>持仓</v>
      </c>
      <c r="I1182" s="1">
        <f>价格指标计算!B1182</f>
        <v>1.9218999999999999</v>
      </c>
      <c r="J1182" s="1">
        <f>价格指标计算!Q1182</f>
        <v>3.0000000000000001E-3</v>
      </c>
      <c r="K1182" s="1">
        <f>RRG趋势计算!D1181</f>
        <v>0.51425934190580946</v>
      </c>
      <c r="L1182" s="1">
        <f>RRG趋势计算!G1181</f>
        <v>6.9175372689911363E-2</v>
      </c>
    </row>
    <row r="1183" spans="1:12">
      <c r="A1183" s="21">
        <f>RRG趋势计算!A1182</f>
        <v>46287</v>
      </c>
      <c r="B1183" s="1" t="str">
        <f>RRG趋势计算!H1182</f>
        <v>领先</v>
      </c>
      <c r="C1183" s="1" t="str">
        <f>价格指标计算!R1183</f>
        <v>贵</v>
      </c>
      <c r="D1183" s="1" t="str">
        <f>RRG趋势计算!F1182</f>
        <v>上升</v>
      </c>
      <c r="E1183" s="1" t="str">
        <f t="shared" si="74"/>
        <v>持仓</v>
      </c>
      <c r="I1183" s="1">
        <f>价格指标计算!B1183</f>
        <v>1.9167000000000001</v>
      </c>
      <c r="J1183" s="1">
        <f>价格指标计算!Q1183</f>
        <v>3.0000000000000001E-3</v>
      </c>
      <c r="K1183" s="1">
        <f>RRG趋势计算!D1182</f>
        <v>0.56905972000065308</v>
      </c>
      <c r="L1183" s="1">
        <f>RRG趋势计算!G1182</f>
        <v>0.12824439825638301</v>
      </c>
    </row>
    <row r="1184" spans="1:12">
      <c r="A1184" s="21">
        <f>RRG趋势计算!A1183</f>
        <v>46288</v>
      </c>
      <c r="B1184" s="1" t="str">
        <f>RRG趋势计算!H1183</f>
        <v>领先</v>
      </c>
      <c r="C1184" s="1" t="str">
        <f>价格指标计算!R1184</f>
        <v>贵</v>
      </c>
      <c r="D1184" s="1" t="str">
        <f>RRG趋势计算!F1183</f>
        <v>上升</v>
      </c>
      <c r="E1184" s="1" t="str">
        <f t="shared" si="74"/>
        <v>持仓</v>
      </c>
      <c r="I1184" s="1">
        <f>价格指标计算!B1184</f>
        <v>1.9038999999999999</v>
      </c>
      <c r="J1184" s="1">
        <f>价格指标计算!Q1184</f>
        <v>3.0000000000000001E-3</v>
      </c>
      <c r="K1184" s="1">
        <f>RRG趋势计算!D1183</f>
        <v>0.60604942171857967</v>
      </c>
      <c r="L1184" s="1">
        <f>RRG趋势计算!G1183</f>
        <v>0.16370392181102034</v>
      </c>
    </row>
    <row r="1185" spans="1:12">
      <c r="A1185" s="21">
        <f>RRG趋势计算!A1184</f>
        <v>46289</v>
      </c>
      <c r="B1185" s="1" t="str">
        <f>RRG趋势计算!H1184</f>
        <v>领先</v>
      </c>
      <c r="C1185" s="1" t="str">
        <f>价格指标计算!R1185</f>
        <v>贵</v>
      </c>
      <c r="D1185" s="1" t="str">
        <f>RRG趋势计算!F1184</f>
        <v>上升</v>
      </c>
      <c r="E1185" s="1" t="str">
        <f t="shared" ref="E1185:E1188" si="75">IF(OR(B1185="",C1185="",D1185=""),"",IF(D1185="上升","持仓",IF(AND(B1185="减弱",C1185="贵"),"空仓",IF(AND(B1185="减弱",C1185="中性"),"空仓",IF(AND(B1185="改善",C1185="贵"),"空仓",IF(B1185="滞后","空仓","持仓"))))))</f>
        <v>持仓</v>
      </c>
      <c r="I1185" s="1">
        <f>价格指标计算!B1185</f>
        <v>1.8985000000000001</v>
      </c>
      <c r="J1185" s="1">
        <f>价格指标计算!Q1185</f>
        <v>3.0000000000000001E-3</v>
      </c>
      <c r="K1185" s="1">
        <f>RRG趋势计算!D1184</f>
        <v>0.63138832453397686</v>
      </c>
      <c r="L1185" s="1">
        <f>RRG趋势计算!G1184</f>
        <v>0.21651680558074649</v>
      </c>
    </row>
    <row r="1186" spans="1:12">
      <c r="A1186" s="21">
        <f>RRG趋势计算!A1185</f>
        <v>46293</v>
      </c>
      <c r="B1186" s="1" t="str">
        <f>RRG趋势计算!H1185</f>
        <v>领先</v>
      </c>
      <c r="C1186" s="1" t="str">
        <f>价格指标计算!R1186</f>
        <v>贵</v>
      </c>
      <c r="D1186" s="1" t="str">
        <f>RRG趋势计算!F1185</f>
        <v>上升</v>
      </c>
      <c r="E1186" s="1" t="str">
        <f t="shared" si="75"/>
        <v>持仓</v>
      </c>
      <c r="I1186" s="1">
        <f>价格指标计算!B1186</f>
        <v>1.8855</v>
      </c>
      <c r="J1186" s="1">
        <f>价格指标计算!Q1186</f>
        <v>3.0000000000000001E-3</v>
      </c>
      <c r="K1186" s="1">
        <f>RRG趋势计算!D1185</f>
        <v>0.61186464917060146</v>
      </c>
      <c r="L1186" s="1">
        <f>RRG趋势计算!G1185</f>
        <v>0.20152566915978554</v>
      </c>
    </row>
    <row r="1187" spans="1:12">
      <c r="A1187" s="21">
        <f>RRG趋势计算!A1186</f>
        <v>46294</v>
      </c>
      <c r="B1187" s="1" t="str">
        <f>RRG趋势计算!H1186</f>
        <v>领先</v>
      </c>
      <c r="C1187" s="1" t="str">
        <f>价格指标计算!R1187</f>
        <v>贵</v>
      </c>
      <c r="D1187" s="1" t="str">
        <f>RRG趋势计算!F1186</f>
        <v>上升</v>
      </c>
      <c r="E1187" s="1" t="str">
        <f t="shared" si="75"/>
        <v>持仓</v>
      </c>
      <c r="I1187" s="1">
        <f>价格指标计算!B1187</f>
        <v>1.8777999999999999</v>
      </c>
      <c r="J1187" s="1">
        <f>价格指标计算!Q1187</f>
        <v>5.0000000000000001E-3</v>
      </c>
      <c r="K1187" s="1">
        <f>RRG趋势计算!D1186</f>
        <v>0.64108955284065683</v>
      </c>
      <c r="L1187" s="1">
        <f>RRG趋势计算!G1186</f>
        <v>0.22429923909297322</v>
      </c>
    </row>
    <row r="1188" spans="1:12">
      <c r="A1188" s="21">
        <f>RRG趋势计算!A1187</f>
        <v>46295</v>
      </c>
      <c r="B1188" s="1" t="str">
        <f>RRG趋势计算!H1187</f>
        <v>领先</v>
      </c>
      <c r="C1188" s="1" t="str">
        <f>价格指标计算!R1188</f>
        <v>贵</v>
      </c>
      <c r="D1188" s="1" t="str">
        <f>RRG趋势计算!F1187</f>
        <v>上升</v>
      </c>
      <c r="E1188" s="1" t="str">
        <f t="shared" si="75"/>
        <v>持仓</v>
      </c>
      <c r="I1188" s="1">
        <f>价格指标计算!B1188</f>
        <v>1.8842000000000001</v>
      </c>
      <c r="J1188" s="1">
        <f>价格指标计算!Q1188</f>
        <v>5.0000000000000001E-3</v>
      </c>
      <c r="K1188" s="1">
        <f>RRG趋势计算!D1187</f>
        <v>0.61276274067509906</v>
      </c>
      <c r="L1188" s="1">
        <f>RRG趋势计算!G1187</f>
        <v>0.22114812257925109</v>
      </c>
    </row>
    <row r="1189" spans="1:12">
      <c r="A1189" s="21">
        <f>RRG趋势计算!A1188</f>
        <v>46303</v>
      </c>
      <c r="B1189" s="1" t="str">
        <f>RRG趋势计算!H1188</f>
        <v>领先</v>
      </c>
      <c r="C1189" s="1" t="str">
        <f>价格指标计算!R1189</f>
        <v>贵</v>
      </c>
      <c r="D1189" s="1" t="str">
        <f>RRG趋势计算!F1188</f>
        <v>上升</v>
      </c>
      <c r="E1189" s="1" t="str">
        <f t="shared" ref="E1189:E1191" si="76">IF(OR(B1189="",C1189="",D1189=""),"",IF(D1189="上升","持仓",IF(AND(B1189="减弱",C1189="贵"),"空仓",IF(AND(B1189="减弱",C1189="中性"),"空仓",IF(AND(B1189="改善",C1189="贵"),"空仓",IF(B1189="滞后","空仓","持仓"))))))</f>
        <v>持仓</v>
      </c>
      <c r="I1189" s="1">
        <f>价格指标计算!B1189</f>
        <v>1.8906000000000001</v>
      </c>
      <c r="J1189" s="1">
        <f>价格指标计算!Q1189</f>
        <v>1.0999999999999999E-2</v>
      </c>
      <c r="K1189" s="1">
        <f>RRG趋势计算!D1188</f>
        <v>0.59445664839661294</v>
      </c>
      <c r="L1189" s="1">
        <f>RRG趋势计算!G1188</f>
        <v>0.22994035750145692</v>
      </c>
    </row>
    <row r="1190" spans="1:12">
      <c r="A1190" s="21">
        <f>RRG趋势计算!A1189</f>
        <v>46304</v>
      </c>
      <c r="B1190" s="1" t="str">
        <f>RRG趋势计算!H1189</f>
        <v>领先</v>
      </c>
      <c r="C1190" s="1" t="str">
        <f>价格指标计算!R1190</f>
        <v>贵</v>
      </c>
      <c r="D1190" s="1" t="str">
        <f>RRG趋势计算!F1189</f>
        <v>上升</v>
      </c>
      <c r="E1190" s="1" t="str">
        <f t="shared" si="76"/>
        <v>持仓</v>
      </c>
      <c r="I1190" s="1">
        <f>价格指标计算!B1190</f>
        <v>1.8972</v>
      </c>
      <c r="J1190" s="1">
        <f>价格指标计算!Q1190</f>
        <v>1.9E-2</v>
      </c>
      <c r="K1190" s="1">
        <f>RRG趋势计算!D1189</f>
        <v>0.58392053220153173</v>
      </c>
      <c r="L1190" s="1">
        <f>RRG趋势计算!G1189</f>
        <v>0.21165900527309045</v>
      </c>
    </row>
    <row r="1191" spans="1:12">
      <c r="A1191" s="21">
        <f>RRG趋势计算!A1190</f>
        <v>46305</v>
      </c>
      <c r="B1191" s="1" t="str">
        <f>RRG趋势计算!H1190</f>
        <v>领先</v>
      </c>
      <c r="C1191" s="1" t="str">
        <f>价格指标计算!R1191</f>
        <v>贵</v>
      </c>
      <c r="D1191" s="1" t="str">
        <f>RRG趋势计算!F1190</f>
        <v>上升</v>
      </c>
      <c r="E1191" s="1" t="str">
        <f t="shared" si="76"/>
        <v>持仓</v>
      </c>
      <c r="I1191" s="1">
        <f>价格指标计算!B1191</f>
        <v>1.9014</v>
      </c>
      <c r="J1191" s="1">
        <f>价格指标计算!Q1191</f>
        <v>2.8999999999999998E-2</v>
      </c>
      <c r="K1191" s="1">
        <f>RRG趋势计算!D1190</f>
        <v>0.53497856456699022</v>
      </c>
      <c r="L1191" s="1">
        <f>RRG趋势计算!G1190</f>
        <v>0.16588818870488797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2026-10-12T00:50:32Z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