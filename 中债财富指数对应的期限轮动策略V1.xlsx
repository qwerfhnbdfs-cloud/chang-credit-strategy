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EAC8808E-FAB8-4001-9B75-72BC05F0846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89" i="8" l="1"/>
  <c r="B1189" i="8"/>
  <c r="E1189" i="8" s="1"/>
  <c r="C1189" i="8"/>
  <c r="D1189" i="8"/>
  <c r="I1189" i="8"/>
  <c r="J1189" i="8"/>
  <c r="K1189" i="8"/>
  <c r="L1189" i="8"/>
  <c r="A1189" i="7"/>
  <c r="B1189" i="7"/>
  <c r="D1189" i="7" s="1"/>
  <c r="C1189" i="7"/>
  <c r="H1189" i="7"/>
  <c r="I1189" i="7" s="1"/>
  <c r="A1188" i="6"/>
  <c r="B1188" i="6"/>
  <c r="C1188" i="6"/>
  <c r="D1188" i="6"/>
  <c r="E1188" i="6" s="1"/>
  <c r="F1188" i="6" s="1"/>
  <c r="A1188" i="4"/>
  <c r="H1188" i="5"/>
  <c r="I1188" i="5"/>
  <c r="A1185" i="7"/>
  <c r="B1185" i="7"/>
  <c r="I1185" i="8" s="1"/>
  <c r="A1186" i="7"/>
  <c r="B1186" i="7"/>
  <c r="A1187" i="7"/>
  <c r="B1187" i="7"/>
  <c r="I1187" i="8" s="1"/>
  <c r="A1188" i="7"/>
  <c r="B1188" i="7"/>
  <c r="I1188" i="8" s="1"/>
  <c r="A1187" i="4"/>
  <c r="A1187" i="6" s="1"/>
  <c r="A1188" i="8" s="1"/>
  <c r="A1184" i="4"/>
  <c r="A1184" i="6" s="1"/>
  <c r="A1185" i="8" s="1"/>
  <c r="A1185" i="4"/>
  <c r="A1185" i="6" s="1"/>
  <c r="A1186" i="8" s="1"/>
  <c r="A1186" i="4"/>
  <c r="A1186" i="6" s="1"/>
  <c r="A1187" i="8" s="1"/>
  <c r="H1184" i="5"/>
  <c r="H1185" i="7" s="1"/>
  <c r="I1184" i="5"/>
  <c r="H1185" i="5"/>
  <c r="H1186" i="7" s="1"/>
  <c r="I1185" i="5"/>
  <c r="H1186" i="5"/>
  <c r="H1187" i="7" s="1"/>
  <c r="I1186" i="5"/>
  <c r="H1187" i="5"/>
  <c r="H1188" i="7" s="1"/>
  <c r="I1187" i="5"/>
  <c r="A1184" i="7"/>
  <c r="B1184" i="7"/>
  <c r="I1184" i="8" s="1"/>
  <c r="H1183" i="5"/>
  <c r="H1184" i="7" s="1"/>
  <c r="I1183" i="5"/>
  <c r="A1183" i="4"/>
  <c r="A1183" i="6" s="1"/>
  <c r="A1184" i="8" s="1"/>
  <c r="A1183" i="7"/>
  <c r="B1183" i="7"/>
  <c r="I1183" i="8" s="1"/>
  <c r="A1182" i="4"/>
  <c r="A1182" i="6" s="1"/>
  <c r="A1183" i="8" s="1"/>
  <c r="H1182" i="5"/>
  <c r="H1183" i="7" s="1"/>
  <c r="I1182" i="5"/>
  <c r="A1182" i="7"/>
  <c r="B1182" i="7"/>
  <c r="A1181" i="4"/>
  <c r="A1181" i="6" s="1"/>
  <c r="A1182" i="8" s="1"/>
  <c r="H1181" i="5"/>
  <c r="H1182" i="7" s="1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88" i="4"/>
  <c r="C1188" i="4"/>
  <c r="D1188" i="4"/>
  <c r="E1188" i="4"/>
  <c r="F1188" i="4"/>
  <c r="G1188" i="4"/>
  <c r="G1186" i="4"/>
  <c r="F1184" i="4"/>
  <c r="G1185" i="4"/>
  <c r="E1182" i="4"/>
  <c r="E1179" i="4"/>
  <c r="C1181" i="4"/>
  <c r="C1180" i="4"/>
  <c r="B1177" i="4"/>
  <c r="D1181" i="4"/>
  <c r="B1184" i="4"/>
  <c r="E1184" i="4"/>
  <c r="F1186" i="4"/>
  <c r="G1181" i="4"/>
  <c r="G1179" i="4"/>
  <c r="E1180" i="4"/>
  <c r="C1179" i="4"/>
  <c r="F1178" i="4"/>
  <c r="B1187" i="4"/>
  <c r="D1186" i="4"/>
  <c r="D1185" i="4"/>
  <c r="F1183" i="4"/>
  <c r="F1180" i="4"/>
  <c r="D1182" i="4"/>
  <c r="F1179" i="4"/>
  <c r="D1183" i="4"/>
  <c r="C1187" i="4"/>
  <c r="C1184" i="4"/>
  <c r="C1186" i="4"/>
  <c r="G1180" i="4"/>
  <c r="F1181" i="4"/>
  <c r="E1181" i="4"/>
  <c r="C1182" i="4"/>
  <c r="E1178" i="4"/>
  <c r="F1177" i="4"/>
  <c r="D1187" i="4"/>
  <c r="B1185" i="4"/>
  <c r="E1185" i="4"/>
  <c r="D1178" i="4"/>
  <c r="B1180" i="4"/>
  <c r="G1182" i="4"/>
  <c r="C1183" i="4"/>
  <c r="F1182" i="4"/>
  <c r="E1187" i="4"/>
  <c r="D1184" i="4"/>
  <c r="G1184" i="4"/>
  <c r="C1177" i="4"/>
  <c r="C1178" i="4"/>
  <c r="D1177" i="4"/>
  <c r="G1178" i="4"/>
  <c r="E1177" i="4"/>
  <c r="F1187" i="4"/>
  <c r="C1185" i="4"/>
  <c r="F1185" i="4"/>
  <c r="D1180" i="4"/>
  <c r="D1179" i="4"/>
  <c r="B1179" i="4"/>
  <c r="B1178" i="4"/>
  <c r="B1182" i="4"/>
  <c r="G1187" i="4"/>
  <c r="B1186" i="4"/>
  <c r="E1186" i="4"/>
  <c r="G1183" i="4"/>
  <c r="B1181" i="4"/>
  <c r="B1183" i="4"/>
  <c r="G1177" i="4"/>
  <c r="E1183" i="4"/>
  <c r="E1189" i="7" l="1"/>
  <c r="O1189" i="7"/>
  <c r="P1189" i="7"/>
  <c r="F1189" i="7"/>
  <c r="J1189" i="7"/>
  <c r="K1189" i="7" s="1"/>
  <c r="G1188" i="6"/>
  <c r="H1188" i="6" s="1"/>
  <c r="I1185" i="7"/>
  <c r="I1188" i="4"/>
  <c r="H1188" i="4"/>
  <c r="C1187" i="7"/>
  <c r="I1186" i="7"/>
  <c r="I1188" i="7"/>
  <c r="J1186" i="7"/>
  <c r="K1186" i="7" s="1"/>
  <c r="J1185" i="7"/>
  <c r="I1187" i="7"/>
  <c r="J1188" i="7"/>
  <c r="D1187" i="7"/>
  <c r="D1185" i="7"/>
  <c r="I1186" i="8"/>
  <c r="C1185" i="7"/>
  <c r="C1188" i="7"/>
  <c r="J1187" i="7"/>
  <c r="D1186" i="7"/>
  <c r="C1186" i="7"/>
  <c r="D1188" i="7"/>
  <c r="F1187" i="7"/>
  <c r="I1187" i="4"/>
  <c r="H1187" i="4"/>
  <c r="I1186" i="4"/>
  <c r="I1185" i="4"/>
  <c r="I1184" i="4"/>
  <c r="H1186" i="4"/>
  <c r="H1185" i="4"/>
  <c r="H1184" i="4"/>
  <c r="I1184" i="7"/>
  <c r="D1184" i="7"/>
  <c r="C1184" i="7"/>
  <c r="J1184" i="7"/>
  <c r="I1183" i="4"/>
  <c r="H1183" i="4"/>
  <c r="D1183" i="7"/>
  <c r="C1183" i="7"/>
  <c r="I1183" i="7"/>
  <c r="J1183" i="7"/>
  <c r="I1182" i="4"/>
  <c r="H1182" i="4"/>
  <c r="C1182" i="7"/>
  <c r="D1182" i="7"/>
  <c r="I1182" i="7"/>
  <c r="I1182" i="8"/>
  <c r="J1182" i="7"/>
  <c r="I1181" i="4"/>
  <c r="H1181" i="4"/>
  <c r="I1180" i="7"/>
  <c r="D1180" i="7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1126" i="4"/>
  <c r="G1118" i="4"/>
  <c r="G1165" i="4"/>
  <c r="B1176" i="4"/>
  <c r="A1" i="5"/>
  <c r="E1156" i="4"/>
  <c r="C1125" i="4"/>
  <c r="D1166" i="4"/>
  <c r="D1159" i="4"/>
  <c r="G1161" i="4"/>
  <c r="G1124" i="4"/>
  <c r="F1146" i="4"/>
  <c r="B1162" i="4"/>
  <c r="D1141" i="4"/>
  <c r="F1139" i="4"/>
  <c r="F1126" i="4"/>
  <c r="D1120" i="4"/>
  <c r="G1150" i="4"/>
  <c r="B1125" i="4"/>
  <c r="E1175" i="4"/>
  <c r="G1127" i="4"/>
  <c r="F1168" i="4"/>
  <c r="B1149" i="4"/>
  <c r="B1133" i="4"/>
  <c r="E1139" i="4"/>
  <c r="B1173" i="4"/>
  <c r="E1162" i="4"/>
  <c r="B1118" i="4"/>
  <c r="B1166" i="4"/>
  <c r="G1142" i="4"/>
  <c r="F1121" i="4"/>
  <c r="D1173" i="4"/>
  <c r="G1128" i="4"/>
  <c r="C1168" i="4"/>
  <c r="G1175" i="4"/>
  <c r="D1125" i="4"/>
  <c r="G1116" i="4"/>
  <c r="C1165" i="4"/>
  <c r="B1137" i="4"/>
  <c r="G1113" i="4"/>
  <c r="B1108" i="4"/>
  <c r="F1159" i="4"/>
  <c r="D1135" i="4"/>
  <c r="B1124" i="4"/>
  <c r="B1159" i="4"/>
  <c r="D1170" i="4"/>
  <c r="C1130" i="4"/>
  <c r="C1173" i="4"/>
  <c r="C1141" i="4"/>
  <c r="B1130" i="4"/>
  <c r="C1146" i="4"/>
  <c r="D1156" i="4"/>
  <c r="C1110" i="4"/>
  <c r="B1117" i="4"/>
  <c r="G1136" i="4"/>
  <c r="F1132" i="4"/>
  <c r="D1128" i="4"/>
  <c r="F1169" i="4"/>
  <c r="E1131" i="4"/>
  <c r="C1151" i="4"/>
  <c r="G1137" i="4"/>
  <c r="F1105" i="4"/>
  <c r="F1117" i="4"/>
  <c r="F1143" i="4"/>
  <c r="F1150" i="4"/>
  <c r="B1112" i="4"/>
  <c r="F1145" i="4"/>
  <c r="G1155" i="4"/>
  <c r="E1145" i="4"/>
  <c r="C1157" i="4"/>
  <c r="G1106" i="4"/>
  <c r="C1106" i="4"/>
  <c r="D1122" i="4"/>
  <c r="G1131" i="4"/>
  <c r="E1157" i="4"/>
  <c r="G1162" i="4"/>
  <c r="G1125" i="4"/>
  <c r="D1112" i="4"/>
  <c r="E1155" i="4"/>
  <c r="D1150" i="4"/>
  <c r="F1120" i="4"/>
  <c r="E1152" i="4"/>
  <c r="F1176" i="4"/>
  <c r="F1136" i="4"/>
  <c r="D1117" i="4"/>
  <c r="F1133" i="4"/>
  <c r="B1122" i="4"/>
  <c r="C1131" i="4"/>
  <c r="E1167" i="4"/>
  <c r="G1119" i="4"/>
  <c r="C1109" i="4"/>
  <c r="E1111" i="4"/>
  <c r="D1145" i="4"/>
  <c r="B1140" i="4"/>
  <c r="G1164" i="4"/>
  <c r="B1132" i="4"/>
  <c r="F1157" i="4"/>
  <c r="C1162" i="4"/>
  <c r="E1124" i="4"/>
  <c r="F1115" i="4"/>
  <c r="E1107" i="4"/>
  <c r="F1108" i="4"/>
  <c r="D1110" i="4"/>
  <c r="E1168" i="4"/>
  <c r="B1157" i="4"/>
  <c r="C1139" i="4"/>
  <c r="G1158" i="4"/>
  <c r="E1108" i="4"/>
  <c r="C1129" i="4"/>
  <c r="D1168" i="4"/>
  <c r="C1175" i="4"/>
  <c r="E1176" i="4"/>
  <c r="G1114" i="4"/>
  <c r="C1161" i="4"/>
  <c r="E1160" i="4"/>
  <c r="F1119" i="4"/>
  <c r="G1147" i="4"/>
  <c r="D1123" i="4"/>
  <c r="F1118" i="4"/>
  <c r="C3" i="4"/>
  <c r="E1158" i="4"/>
  <c r="G1172" i="4"/>
  <c r="D1118" i="4"/>
  <c r="C1136" i="4"/>
  <c r="C1143" i="4"/>
  <c r="F1110" i="4"/>
  <c r="E1125" i="4"/>
  <c r="F1106" i="4"/>
  <c r="G1138" i="4"/>
  <c r="G4" i="4"/>
  <c r="G1156" i="4"/>
  <c r="C1126" i="4"/>
  <c r="C1123" i="4"/>
  <c r="C1120" i="4"/>
  <c r="E1141" i="4"/>
  <c r="C1111" i="4"/>
  <c r="G1130" i="4"/>
  <c r="E1154" i="4"/>
  <c r="B1119" i="4"/>
  <c r="C1164" i="4"/>
  <c r="G1159" i="4"/>
  <c r="F1147" i="4"/>
  <c r="F1162" i="4"/>
  <c r="D1153" i="4"/>
  <c r="D1107" i="4"/>
  <c r="D1176" i="4"/>
  <c r="C1118" i="4"/>
  <c r="F1127" i="4"/>
  <c r="G1157" i="4"/>
  <c r="E1140" i="4"/>
  <c r="G1129" i="4"/>
  <c r="G1110" i="4"/>
  <c r="D1144" i="4"/>
  <c r="B1171" i="4"/>
  <c r="D1155" i="4"/>
  <c r="B1152" i="4"/>
  <c r="D1139" i="4"/>
  <c r="B1134" i="4"/>
  <c r="F4" i="4"/>
  <c r="F1109" i="4"/>
  <c r="G1121" i="4"/>
  <c r="C1105" i="4"/>
  <c r="E1106" i="4"/>
  <c r="B1147" i="4"/>
  <c r="F1158" i="4"/>
  <c r="C1145" i="4"/>
  <c r="E1149" i="4"/>
  <c r="B1110" i="4"/>
  <c r="D1121" i="4"/>
  <c r="F1130" i="4"/>
  <c r="F1114" i="4"/>
  <c r="C1133" i="4"/>
  <c r="G1115" i="4"/>
  <c r="E1144" i="4"/>
  <c r="E1164" i="4"/>
  <c r="G1176" i="4"/>
  <c r="E1174" i="4"/>
  <c r="B1106" i="4"/>
  <c r="C1174" i="4"/>
  <c r="G1145" i="4"/>
  <c r="D1165" i="4"/>
  <c r="F1167" i="4"/>
  <c r="E1134" i="4"/>
  <c r="B1116" i="4"/>
  <c r="D1174" i="4"/>
  <c r="F1141" i="4"/>
  <c r="B1161" i="4"/>
  <c r="F1111" i="4"/>
  <c r="C1124" i="4"/>
  <c r="G1123" i="4"/>
  <c r="D1129" i="4"/>
  <c r="G1173" i="4"/>
  <c r="D1163" i="4"/>
  <c r="B1135" i="4"/>
  <c r="F1156" i="4"/>
  <c r="C1150" i="4"/>
  <c r="G1122" i="4"/>
  <c r="D1137" i="4"/>
  <c r="B1164" i="4"/>
  <c r="F1174" i="4"/>
  <c r="E1137" i="4"/>
  <c r="F1160" i="4"/>
  <c r="D1132" i="4"/>
  <c r="E1105" i="4"/>
  <c r="C1138" i="4"/>
  <c r="E1127" i="4"/>
  <c r="B1126" i="4"/>
  <c r="D1113" i="4"/>
  <c r="C1128" i="4"/>
  <c r="D1175" i="4"/>
  <c r="D1140" i="4"/>
  <c r="G1174" i="4"/>
  <c r="F1122" i="4"/>
  <c r="B1165" i="4"/>
  <c r="D1143" i="4"/>
  <c r="F1123" i="4"/>
  <c r="E1120" i="4"/>
  <c r="E1166" i="4"/>
  <c r="G1120" i="4"/>
  <c r="F1149" i="4"/>
  <c r="E1132" i="4"/>
  <c r="D1130" i="4"/>
  <c r="B1154" i="4"/>
  <c r="C1152" i="4"/>
  <c r="C1148" i="4"/>
  <c r="F1148" i="4"/>
  <c r="G1167" i="4"/>
  <c r="D1106" i="4"/>
  <c r="B1111" i="4"/>
  <c r="B1128" i="4"/>
  <c r="C1132" i="4"/>
  <c r="G1148" i="4"/>
  <c r="E1110" i="4"/>
  <c r="D1116" i="4"/>
  <c r="G1140" i="4"/>
  <c r="B1167" i="4"/>
  <c r="B1170" i="4"/>
  <c r="E1133" i="4"/>
  <c r="E1128" i="4"/>
  <c r="F1154" i="4"/>
  <c r="B1127" i="4"/>
  <c r="B1172" i="4"/>
  <c r="D1146" i="4"/>
  <c r="F1112" i="4"/>
  <c r="B1150" i="4"/>
  <c r="G1151" i="4"/>
  <c r="E1161" i="4"/>
  <c r="C1160" i="4"/>
  <c r="B1144" i="4"/>
  <c r="C1154" i="4"/>
  <c r="C1116" i="4"/>
  <c r="B3" i="4"/>
  <c r="G1126" i="4"/>
  <c r="G1152" i="4"/>
  <c r="F1151" i="4"/>
  <c r="F1161" i="4"/>
  <c r="E1146" i="4"/>
  <c r="C1159" i="4"/>
  <c r="B1139" i="4"/>
  <c r="B1156" i="4"/>
  <c r="B1155" i="4"/>
  <c r="C1166" i="4"/>
  <c r="E1147" i="4"/>
  <c r="C1176" i="4"/>
  <c r="D1109" i="4"/>
  <c r="C1113" i="4"/>
  <c r="C1122" i="4"/>
  <c r="D1154" i="4"/>
  <c r="E1114" i="4"/>
  <c r="E1143" i="4"/>
  <c r="G1166" i="4"/>
  <c r="C1153" i="4"/>
  <c r="D1131" i="4"/>
  <c r="G1112" i="4"/>
  <c r="D1172" i="4"/>
  <c r="F1172" i="4"/>
  <c r="E1129" i="4"/>
  <c r="E1109" i="4"/>
  <c r="F3" i="4"/>
  <c r="D1134" i="4"/>
  <c r="F1124" i="4"/>
  <c r="F1128" i="4"/>
  <c r="C1172" i="4"/>
  <c r="G1163" i="4"/>
  <c r="G1149" i="4"/>
  <c r="F1125" i="4"/>
  <c r="D1127" i="4"/>
  <c r="E1136" i="4"/>
  <c r="D1111" i="4"/>
  <c r="D1167" i="4"/>
  <c r="B1163" i="4"/>
  <c r="G1160" i="4"/>
  <c r="E1113" i="4"/>
  <c r="D1171" i="4"/>
  <c r="G1170" i="4"/>
  <c r="B1141" i="4"/>
  <c r="G1133" i="4"/>
  <c r="D1124" i="4"/>
  <c r="C1156" i="4"/>
  <c r="F1170" i="4"/>
  <c r="E1169" i="4"/>
  <c r="B1115" i="4"/>
  <c r="B1142" i="4"/>
  <c r="C1158" i="4"/>
  <c r="B1113" i="4"/>
  <c r="F1129" i="4"/>
  <c r="B1151" i="4"/>
  <c r="E1163" i="4"/>
  <c r="G1146" i="4"/>
  <c r="D1136" i="4"/>
  <c r="B1174" i="4"/>
  <c r="B1105" i="4"/>
  <c r="D1148" i="4"/>
  <c r="F1166" i="4"/>
  <c r="F1171" i="4"/>
  <c r="E1115" i="4"/>
  <c r="C1155" i="4"/>
  <c r="B1168" i="4"/>
  <c r="C1147" i="4"/>
  <c r="F1107" i="4"/>
  <c r="E1172" i="4"/>
  <c r="C1115" i="4"/>
  <c r="G1153" i="4"/>
  <c r="D1114" i="4"/>
  <c r="F1144" i="4"/>
  <c r="D1149" i="4"/>
  <c r="C1121" i="4"/>
  <c r="G1108" i="4"/>
  <c r="G1139" i="4"/>
  <c r="G1134" i="4"/>
  <c r="C1171" i="4"/>
  <c r="B1148" i="4"/>
  <c r="E1165" i="4"/>
  <c r="B1138" i="4"/>
  <c r="D1164" i="4"/>
  <c r="D1161" i="4"/>
  <c r="D1151" i="4"/>
  <c r="B1109" i="4"/>
  <c r="E1159" i="4"/>
  <c r="C1127" i="4"/>
  <c r="E1142" i="4"/>
  <c r="D1160" i="4"/>
  <c r="B1123" i="4"/>
  <c r="D4" i="4"/>
  <c r="B1129" i="4"/>
  <c r="E4" i="4"/>
  <c r="D1138" i="4"/>
  <c r="F1134" i="4"/>
  <c r="C1114" i="4"/>
  <c r="F1142" i="4"/>
  <c r="B1107" i="4"/>
  <c r="G1117" i="4"/>
  <c r="F1175" i="4"/>
  <c r="D1162" i="4"/>
  <c r="D1158" i="4"/>
  <c r="F1153" i="4"/>
  <c r="F1155" i="4"/>
  <c r="G1135" i="4"/>
  <c r="G1132" i="4"/>
  <c r="E1112" i="4"/>
  <c r="G1144" i="4"/>
  <c r="C1108" i="4"/>
  <c r="E1116" i="4"/>
  <c r="B4" i="4"/>
  <c r="C1135" i="4"/>
  <c r="E1151" i="4"/>
  <c r="B1136" i="4"/>
  <c r="C1144" i="4"/>
  <c r="E1138" i="4"/>
  <c r="F1163" i="4"/>
  <c r="C1163" i="4"/>
  <c r="E1126" i="4"/>
  <c r="F1137" i="4"/>
  <c r="C1107" i="4"/>
  <c r="C1134" i="4"/>
  <c r="D1119" i="4"/>
  <c r="E1148" i="4"/>
  <c r="G1168" i="4"/>
  <c r="B1143" i="4"/>
  <c r="C1149" i="4"/>
  <c r="E1117" i="4"/>
  <c r="F1164" i="4"/>
  <c r="B1158" i="4"/>
  <c r="E1171" i="4"/>
  <c r="G1141" i="4"/>
  <c r="F1113" i="4"/>
  <c r="E1173" i="4"/>
  <c r="G1143" i="4"/>
  <c r="G3" i="4"/>
  <c r="E3" i="4"/>
  <c r="D1108" i="4"/>
  <c r="F1165" i="4"/>
  <c r="C1140" i="4"/>
  <c r="D1142" i="4"/>
  <c r="E1135" i="4"/>
  <c r="G1171" i="4"/>
  <c r="B1121" i="4"/>
  <c r="G1169" i="4"/>
  <c r="B1160" i="4"/>
  <c r="D1133" i="4"/>
  <c r="F1173" i="4"/>
  <c r="F1116" i="4"/>
  <c r="G1111" i="4"/>
  <c r="G1105" i="4"/>
  <c r="E1130" i="4"/>
  <c r="E1119" i="4"/>
  <c r="B1169" i="4"/>
  <c r="G1154" i="4"/>
  <c r="B1146" i="4"/>
  <c r="C1142" i="4"/>
  <c r="E1153" i="4"/>
  <c r="C1119" i="4"/>
  <c r="E1150" i="4"/>
  <c r="B1145" i="4"/>
  <c r="F1138" i="4"/>
  <c r="C1167" i="4"/>
  <c r="D3" i="4"/>
  <c r="C1137" i="4"/>
  <c r="D1152" i="4"/>
  <c r="F1135" i="4"/>
  <c r="F1131" i="4"/>
  <c r="D1105" i="4"/>
  <c r="F1140" i="4"/>
  <c r="D1169" i="4"/>
  <c r="C4" i="4"/>
  <c r="D1157" i="4"/>
  <c r="D1147" i="4"/>
  <c r="B1153" i="4"/>
  <c r="E1123" i="4"/>
  <c r="C1112" i="4"/>
  <c r="E1118" i="4"/>
  <c r="F1152" i="4"/>
  <c r="E1122" i="4"/>
  <c r="C1117" i="4"/>
  <c r="G1109" i="4"/>
  <c r="B1120" i="4"/>
  <c r="G1107" i="4"/>
  <c r="E1121" i="4"/>
  <c r="C1170" i="4"/>
  <c r="E1170" i="4"/>
  <c r="D1115" i="4"/>
  <c r="B1175" i="4"/>
  <c r="C1169" i="4"/>
  <c r="B1131" i="4"/>
  <c r="B1114" i="4"/>
  <c r="Q1189" i="7" l="1"/>
  <c r="R1189" i="7" s="1"/>
  <c r="G1189" i="7"/>
  <c r="L1189" i="7"/>
  <c r="M1189" i="7" s="1"/>
  <c r="L1185" i="7"/>
  <c r="E1185" i="7"/>
  <c r="P1188" i="7"/>
  <c r="L1188" i="7"/>
  <c r="E1187" i="7"/>
  <c r="G1187" i="7" s="1"/>
  <c r="K1184" i="7"/>
  <c r="F1185" i="7"/>
  <c r="K1188" i="7"/>
  <c r="P1186" i="7"/>
  <c r="P1185" i="7"/>
  <c r="K1187" i="7"/>
  <c r="O1186" i="7"/>
  <c r="O1185" i="7"/>
  <c r="F445" i="7"/>
  <c r="E1188" i="7"/>
  <c r="O1187" i="7"/>
  <c r="M1188" i="7"/>
  <c r="P1187" i="7"/>
  <c r="O1188" i="7"/>
  <c r="Q1188" i="7" s="1"/>
  <c r="J1188" i="8" s="1"/>
  <c r="K1185" i="7"/>
  <c r="M1185" i="7" s="1"/>
  <c r="B1187" i="6"/>
  <c r="L1186" i="7"/>
  <c r="M1186" i="7" s="1"/>
  <c r="B1184" i="6"/>
  <c r="B1185" i="6"/>
  <c r="B1186" i="6"/>
  <c r="F1188" i="7"/>
  <c r="G1188" i="7" s="1"/>
  <c r="E1186" i="7"/>
  <c r="F1186" i="7"/>
  <c r="L1187" i="7"/>
  <c r="P1184" i="7"/>
  <c r="K1183" i="7"/>
  <c r="F1184" i="7"/>
  <c r="E1184" i="7"/>
  <c r="F1183" i="7"/>
  <c r="O1184" i="7"/>
  <c r="B1183" i="6"/>
  <c r="L1184" i="7"/>
  <c r="M1184" i="7" s="1"/>
  <c r="P1183" i="7"/>
  <c r="E1183" i="7"/>
  <c r="F1182" i="7"/>
  <c r="O1183" i="7"/>
  <c r="B1182" i="6"/>
  <c r="L1183" i="7"/>
  <c r="L1182" i="7"/>
  <c r="E1182" i="7"/>
  <c r="P1182" i="7"/>
  <c r="K1182" i="7"/>
  <c r="F1180" i="7"/>
  <c r="F419" i="7"/>
  <c r="O1182" i="7"/>
  <c r="B1181" i="6"/>
  <c r="K1179" i="7"/>
  <c r="E1180" i="7"/>
  <c r="B1180" i="6"/>
  <c r="O1180" i="7"/>
  <c r="P1181" i="7"/>
  <c r="O1181" i="7"/>
  <c r="P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E1018" i="7"/>
  <c r="E1050" i="7"/>
  <c r="E1082" i="7"/>
  <c r="G1082" i="7" s="1"/>
  <c r="E435" i="7"/>
  <c r="G435" i="7" s="1"/>
  <c r="E475" i="7"/>
  <c r="E945" i="7"/>
  <c r="E412" i="7"/>
  <c r="E476" i="7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F5" i="4"/>
  <c r="G5" i="4"/>
  <c r="E5" i="4"/>
  <c r="B5" i="4"/>
  <c r="D5" i="4"/>
  <c r="N1189" i="7" l="1"/>
  <c r="G1185" i="7"/>
  <c r="Q1185" i="7"/>
  <c r="R1185" i="7" s="1"/>
  <c r="C1185" i="8" s="1"/>
  <c r="N1185" i="7"/>
  <c r="R1188" i="7"/>
  <c r="C1188" i="8" s="1"/>
  <c r="M1187" i="7"/>
  <c r="N1187" i="7" s="1"/>
  <c r="Q1186" i="7"/>
  <c r="J1186" i="8" s="1"/>
  <c r="Q1187" i="7"/>
  <c r="N1188" i="7"/>
  <c r="G1186" i="7"/>
  <c r="N1186" i="7" s="1"/>
  <c r="M1183" i="7"/>
  <c r="Q1184" i="7"/>
  <c r="J1184" i="8" s="1"/>
  <c r="G476" i="7"/>
  <c r="G986" i="7"/>
  <c r="G1183" i="7"/>
  <c r="G1184" i="7"/>
  <c r="N1184" i="7" s="1"/>
  <c r="Q1183" i="7"/>
  <c r="R1183" i="7" s="1"/>
  <c r="C1183" i="8" s="1"/>
  <c r="G1182" i="7"/>
  <c r="G1180" i="7"/>
  <c r="N1180" i="7" s="1"/>
  <c r="M1182" i="7"/>
  <c r="Q1182" i="7"/>
  <c r="R1182" i="7" s="1"/>
  <c r="C1182" i="8" s="1"/>
  <c r="M1179" i="7"/>
  <c r="Q1180" i="7"/>
  <c r="J1180" i="8" s="1"/>
  <c r="G1018" i="7"/>
  <c r="G1175" i="7"/>
  <c r="G1181" i="7"/>
  <c r="M1178" i="7"/>
  <c r="G1179" i="7"/>
  <c r="M1181" i="7"/>
  <c r="Q1181" i="7"/>
  <c r="B1168" i="6"/>
  <c r="B1163" i="6"/>
  <c r="B1173" i="6"/>
  <c r="Q1179" i="7"/>
  <c r="R1179" i="7" s="1"/>
  <c r="C1179" i="8" s="1"/>
  <c r="G554" i="7"/>
  <c r="G882" i="7"/>
  <c r="E1126" i="7"/>
  <c r="B1137" i="6"/>
  <c r="B1118" i="6"/>
  <c r="B1113" i="6"/>
  <c r="B1164" i="6"/>
  <c r="G1178" i="7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F6" i="4"/>
  <c r="C6" i="4"/>
  <c r="G6" i="4"/>
  <c r="E6" i="4"/>
  <c r="B6" i="4"/>
  <c r="D6" i="4"/>
  <c r="R1186" i="7" l="1"/>
  <c r="C1186" i="8" s="1"/>
  <c r="J1185" i="8"/>
  <c r="N1175" i="7"/>
  <c r="N1183" i="7"/>
  <c r="C1184" i="6"/>
  <c r="D1184" i="6" s="1"/>
  <c r="K1185" i="8" s="1"/>
  <c r="C1186" i="6"/>
  <c r="D1186" i="6" s="1"/>
  <c r="K1187" i="8" s="1"/>
  <c r="C1187" i="6"/>
  <c r="D1187" i="6" s="1"/>
  <c r="K1188" i="8" s="1"/>
  <c r="C1185" i="6"/>
  <c r="D1185" i="6" s="1"/>
  <c r="K1186" i="8" s="1"/>
  <c r="R1187" i="7"/>
  <c r="C1187" i="8" s="1"/>
  <c r="J1187" i="8"/>
  <c r="R1184" i="7"/>
  <c r="C1184" i="8" s="1"/>
  <c r="C1183" i="6"/>
  <c r="D1183" i="6" s="1"/>
  <c r="K1184" i="8" s="1"/>
  <c r="G1153" i="7"/>
  <c r="R1180" i="7"/>
  <c r="C1180" i="8" s="1"/>
  <c r="N1182" i="7"/>
  <c r="J1183" i="8"/>
  <c r="C1182" i="6"/>
  <c r="D1182" i="6" s="1"/>
  <c r="K1183" i="8" s="1"/>
  <c r="N1179" i="7"/>
  <c r="J1182" i="8"/>
  <c r="C1181" i="6"/>
  <c r="D1181" i="6" s="1"/>
  <c r="K1182" i="8" s="1"/>
  <c r="N1178" i="7"/>
  <c r="N1181" i="7"/>
  <c r="J1181" i="8"/>
  <c r="R1181" i="7"/>
  <c r="C1181" i="8" s="1"/>
  <c r="C1180" i="6"/>
  <c r="D1180" i="6" s="1"/>
  <c r="K1181" i="8" s="1"/>
  <c r="C1179" i="6"/>
  <c r="D1179" i="6" s="1"/>
  <c r="K1180" i="8" s="1"/>
  <c r="J1179" i="8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C1149" i="6"/>
  <c r="D1149" i="6" s="1"/>
  <c r="K1150" i="8" s="1"/>
  <c r="C1162" i="6"/>
  <c r="D1162" i="6" s="1"/>
  <c r="C1163" i="6"/>
  <c r="D1163" i="6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C1165" i="6"/>
  <c r="D1165" i="6" s="1"/>
  <c r="C1170" i="6"/>
  <c r="D1170" i="6" s="1"/>
  <c r="K1171" i="8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F7" i="4"/>
  <c r="E7" i="4"/>
  <c r="G7" i="4"/>
  <c r="B7" i="4"/>
  <c r="C7" i="4"/>
  <c r="E1184" i="6" l="1"/>
  <c r="F1184" i="6" s="1"/>
  <c r="D1185" i="8" s="1"/>
  <c r="E1185" i="6"/>
  <c r="F1185" i="6" s="1"/>
  <c r="D1186" i="8" s="1"/>
  <c r="G1186" i="6"/>
  <c r="K1167" i="8"/>
  <c r="E1186" i="6"/>
  <c r="F1186" i="6" s="1"/>
  <c r="D1187" i="8" s="1"/>
  <c r="G1185" i="6"/>
  <c r="G1184" i="6"/>
  <c r="K1168" i="8"/>
  <c r="E1187" i="6"/>
  <c r="F1187" i="6" s="1"/>
  <c r="D1188" i="8" s="1"/>
  <c r="G1187" i="6"/>
  <c r="G1183" i="6"/>
  <c r="K1164" i="8"/>
  <c r="E1183" i="6"/>
  <c r="F1183" i="6" s="1"/>
  <c r="D1184" i="8" s="1"/>
  <c r="G1182" i="6"/>
  <c r="L1183" i="8" s="1"/>
  <c r="K1163" i="8"/>
  <c r="E1182" i="6"/>
  <c r="F1182" i="6" s="1"/>
  <c r="D1183" i="8" s="1"/>
  <c r="K1162" i="8"/>
  <c r="E1181" i="6"/>
  <c r="F1181" i="6" s="1"/>
  <c r="D1182" i="8" s="1"/>
  <c r="G1181" i="6"/>
  <c r="K1160" i="8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C8" i="4"/>
  <c r="G8" i="4"/>
  <c r="E8" i="4"/>
  <c r="F8" i="4"/>
  <c r="D8" i="4"/>
  <c r="E1173" i="8" l="1"/>
  <c r="L1168" i="8"/>
  <c r="H1187" i="6"/>
  <c r="B1188" i="8" s="1"/>
  <c r="E1188" i="8" s="1"/>
  <c r="L1188" i="8"/>
  <c r="L1185" i="8"/>
  <c r="H1184" i="6"/>
  <c r="B1185" i="8" s="1"/>
  <c r="E1185" i="8" s="1"/>
  <c r="H1185" i="6"/>
  <c r="B1186" i="8" s="1"/>
  <c r="E1186" i="8" s="1"/>
  <c r="L1186" i="8"/>
  <c r="H1186" i="6"/>
  <c r="B1187" i="8" s="1"/>
  <c r="E1187" i="8" s="1"/>
  <c r="L1187" i="8"/>
  <c r="L1184" i="8"/>
  <c r="H1183" i="6"/>
  <c r="B1184" i="8" s="1"/>
  <c r="E1184" i="8" s="1"/>
  <c r="H1182" i="6"/>
  <c r="B1183" i="8" s="1"/>
  <c r="E1183" i="8" s="1"/>
  <c r="L1182" i="8"/>
  <c r="H1181" i="6"/>
  <c r="B1182" i="8" s="1"/>
  <c r="E1182" i="8" s="1"/>
  <c r="L1163" i="8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E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B7" i="6"/>
  <c r="I8" i="4"/>
  <c r="H8" i="4"/>
  <c r="A8" i="6"/>
  <c r="A9" i="8" s="1"/>
  <c r="D9" i="4"/>
  <c r="E9" i="4"/>
  <c r="C9" i="4"/>
  <c r="F9" i="4"/>
  <c r="G9" i="4"/>
  <c r="B9" i="4"/>
  <c r="I9" i="4" l="1"/>
  <c r="H9" i="4"/>
  <c r="A9" i="6"/>
  <c r="A10" i="8" s="1"/>
  <c r="B8" i="6"/>
  <c r="G10" i="4"/>
  <c r="E10" i="4"/>
  <c r="F10" i="4"/>
  <c r="C10" i="4"/>
  <c r="B10" i="4"/>
  <c r="D10" i="4"/>
  <c r="I10" i="4" l="1"/>
  <c r="H10" i="4"/>
  <c r="A10" i="6"/>
  <c r="A11" i="8" s="1"/>
  <c r="B9" i="6"/>
  <c r="G11" i="4"/>
  <c r="C11" i="4"/>
  <c r="D11" i="4"/>
  <c r="B11" i="4"/>
  <c r="F11" i="4"/>
  <c r="E11" i="4"/>
  <c r="H11" i="4" l="1"/>
  <c r="I11" i="4"/>
  <c r="A11" i="6"/>
  <c r="A12" i="8" s="1"/>
  <c r="B10" i="6"/>
  <c r="G12" i="4"/>
  <c r="E12" i="4"/>
  <c r="D12" i="4"/>
  <c r="F12" i="4"/>
  <c r="C12" i="4"/>
  <c r="B12" i="4"/>
  <c r="B11" i="6" l="1"/>
  <c r="I12" i="4"/>
  <c r="H12" i="4"/>
  <c r="A12" i="6"/>
  <c r="A13" i="8" s="1"/>
  <c r="E13" i="4"/>
  <c r="D13" i="4"/>
  <c r="C13" i="4"/>
  <c r="G13" i="4"/>
  <c r="F13" i="4"/>
  <c r="B13" i="4"/>
  <c r="H13" i="4" l="1"/>
  <c r="I13" i="4"/>
  <c r="A13" i="6"/>
  <c r="A14" i="8" s="1"/>
  <c r="B12" i="6"/>
  <c r="F14" i="4"/>
  <c r="C14" i="4"/>
  <c r="G14" i="4"/>
  <c r="B14" i="4"/>
  <c r="D14" i="4"/>
  <c r="E14" i="4"/>
  <c r="B13" i="6" l="1"/>
  <c r="H14" i="4"/>
  <c r="I14" i="4"/>
  <c r="A14" i="6"/>
  <c r="A15" i="8" s="1"/>
  <c r="C15" i="4"/>
  <c r="G15" i="4"/>
  <c r="E15" i="4"/>
  <c r="F15" i="4"/>
  <c r="D15" i="4"/>
  <c r="B15" i="4"/>
  <c r="B14" i="6" l="1"/>
  <c r="H15" i="4"/>
  <c r="I15" i="4"/>
  <c r="A15" i="6"/>
  <c r="A16" i="8" s="1"/>
  <c r="E16" i="4"/>
  <c r="G16" i="4"/>
  <c r="D16" i="4"/>
  <c r="C16" i="4"/>
  <c r="B16" i="4"/>
  <c r="F16" i="4"/>
  <c r="B15" i="6" l="1"/>
  <c r="I16" i="4"/>
  <c r="H16" i="4"/>
  <c r="A16" i="6"/>
  <c r="A17" i="8" s="1"/>
  <c r="B17" i="4"/>
  <c r="F17" i="4"/>
  <c r="E17" i="4"/>
  <c r="C17" i="4"/>
  <c r="D17" i="4"/>
  <c r="G17" i="4"/>
  <c r="I17" i="4" l="1"/>
  <c r="H17" i="4"/>
  <c r="A17" i="6"/>
  <c r="A18" i="8" s="1"/>
  <c r="B16" i="6"/>
  <c r="D18" i="4"/>
  <c r="B18" i="4"/>
  <c r="E18" i="4"/>
  <c r="F18" i="4"/>
  <c r="G18" i="4"/>
  <c r="C18" i="4"/>
  <c r="H18" i="4" l="1"/>
  <c r="I18" i="4"/>
  <c r="A18" i="6"/>
  <c r="A19" i="8" s="1"/>
  <c r="B17" i="6"/>
  <c r="F19" i="4"/>
  <c r="C19" i="4"/>
  <c r="B19" i="4"/>
  <c r="E19" i="4"/>
  <c r="G19" i="4"/>
  <c r="D19" i="4"/>
  <c r="B18" i="6" l="1"/>
  <c r="H19" i="4"/>
  <c r="I19" i="4"/>
  <c r="A19" i="6"/>
  <c r="A20" i="8" s="1"/>
  <c r="E20" i="4"/>
  <c r="D20" i="4"/>
  <c r="B20" i="4"/>
  <c r="C20" i="4"/>
  <c r="G20" i="4"/>
  <c r="F20" i="4"/>
  <c r="B19" i="6" l="1"/>
  <c r="I20" i="4"/>
  <c r="H20" i="4"/>
  <c r="A20" i="6"/>
  <c r="A21" i="8" s="1"/>
  <c r="B21" i="4"/>
  <c r="E21" i="4"/>
  <c r="C21" i="4"/>
  <c r="G21" i="4"/>
  <c r="D21" i="4"/>
  <c r="F21" i="4"/>
  <c r="H21" i="4" l="1"/>
  <c r="I21" i="4"/>
  <c r="A21" i="6"/>
  <c r="A22" i="8" s="1"/>
  <c r="B20" i="6"/>
  <c r="E22" i="4"/>
  <c r="B22" i="4"/>
  <c r="D22" i="4"/>
  <c r="G22" i="4"/>
  <c r="F22" i="4"/>
  <c r="C22" i="4"/>
  <c r="B21" i="6" l="1"/>
  <c r="I22" i="4"/>
  <c r="H22" i="4"/>
  <c r="A22" i="6"/>
  <c r="A23" i="8" s="1"/>
  <c r="C23" i="4"/>
  <c r="G23" i="4"/>
  <c r="E23" i="4"/>
  <c r="D23" i="4"/>
  <c r="F23" i="4"/>
  <c r="B23" i="4"/>
  <c r="I23" i="4" l="1"/>
  <c r="H23" i="4"/>
  <c r="A23" i="6"/>
  <c r="A24" i="8" s="1"/>
  <c r="B22" i="6"/>
  <c r="F24" i="4"/>
  <c r="E24" i="4"/>
  <c r="G24" i="4"/>
  <c r="C24" i="4"/>
  <c r="B24" i="4"/>
  <c r="D24" i="4"/>
  <c r="H24" i="4" l="1"/>
  <c r="I24" i="4"/>
  <c r="A24" i="6"/>
  <c r="A25" i="8" s="1"/>
  <c r="B23" i="6"/>
  <c r="G25" i="4"/>
  <c r="D25" i="4"/>
  <c r="E25" i="4"/>
  <c r="F25" i="4"/>
  <c r="B25" i="4"/>
  <c r="C25" i="4"/>
  <c r="B24" i="6" l="1"/>
  <c r="I25" i="4"/>
  <c r="H25" i="4"/>
  <c r="A25" i="6"/>
  <c r="A26" i="8" s="1"/>
  <c r="G26" i="4"/>
  <c r="F26" i="4"/>
  <c r="E26" i="4"/>
  <c r="C26" i="4"/>
  <c r="D26" i="4"/>
  <c r="B26" i="4"/>
  <c r="H26" i="4" l="1"/>
  <c r="I26" i="4"/>
  <c r="A26" i="6"/>
  <c r="A27" i="8" s="1"/>
  <c r="B25" i="6"/>
  <c r="D27" i="4"/>
  <c r="E27" i="4"/>
  <c r="F27" i="4"/>
  <c r="G27" i="4"/>
  <c r="C27" i="4"/>
  <c r="B27" i="4"/>
  <c r="B26" i="6" l="1"/>
  <c r="I27" i="4"/>
  <c r="H27" i="4"/>
  <c r="A27" i="6"/>
  <c r="A28" i="8" s="1"/>
  <c r="F28" i="4"/>
  <c r="G28" i="4"/>
  <c r="E28" i="4"/>
  <c r="B28" i="4"/>
  <c r="D28" i="4"/>
  <c r="C28" i="4"/>
  <c r="H28" i="4" l="1"/>
  <c r="I28" i="4"/>
  <c r="A28" i="6"/>
  <c r="A29" i="8" s="1"/>
  <c r="B27" i="6"/>
  <c r="F29" i="4"/>
  <c r="D29" i="4"/>
  <c r="C29" i="4"/>
  <c r="G29" i="4"/>
  <c r="E29" i="4"/>
  <c r="B29" i="4"/>
  <c r="B28" i="6" l="1"/>
  <c r="H29" i="4"/>
  <c r="I29" i="4"/>
  <c r="A29" i="6"/>
  <c r="A30" i="8" s="1"/>
  <c r="G30" i="4"/>
  <c r="F30" i="4"/>
  <c r="B30" i="4"/>
  <c r="E30" i="4"/>
  <c r="D30" i="4"/>
  <c r="C30" i="4"/>
  <c r="B29" i="6" l="1"/>
  <c r="H30" i="4"/>
  <c r="I30" i="4"/>
  <c r="A30" i="6"/>
  <c r="A31" i="8" s="1"/>
  <c r="G31" i="4"/>
  <c r="C31" i="4"/>
  <c r="B31" i="4"/>
  <c r="D31" i="4"/>
  <c r="E31" i="4"/>
  <c r="F31" i="4"/>
  <c r="B30" i="6" l="1"/>
  <c r="H31" i="4"/>
  <c r="I31" i="4"/>
  <c r="A31" i="6"/>
  <c r="A32" i="8" s="1"/>
  <c r="D32" i="4"/>
  <c r="E32" i="4"/>
  <c r="F32" i="4"/>
  <c r="G32" i="4"/>
  <c r="B32" i="4"/>
  <c r="C32" i="4"/>
  <c r="B31" i="6" l="1"/>
  <c r="I32" i="4"/>
  <c r="H32" i="4"/>
  <c r="A32" i="6"/>
  <c r="A33" i="8" s="1"/>
  <c r="G33" i="4"/>
  <c r="D33" i="4"/>
  <c r="F33" i="4"/>
  <c r="C33" i="4"/>
  <c r="E33" i="4"/>
  <c r="B33" i="4"/>
  <c r="B32" i="6" l="1"/>
  <c r="I33" i="4"/>
  <c r="H33" i="4"/>
  <c r="A33" i="6"/>
  <c r="A34" i="8" s="1"/>
  <c r="C34" i="4"/>
  <c r="B34" i="4"/>
  <c r="D34" i="4"/>
  <c r="E34" i="4"/>
  <c r="F34" i="4"/>
  <c r="G34" i="4"/>
  <c r="H34" i="4" l="1"/>
  <c r="I34" i="4"/>
  <c r="A34" i="6"/>
  <c r="A35" i="8" s="1"/>
  <c r="B33" i="6"/>
  <c r="B35" i="4"/>
  <c r="F35" i="4"/>
  <c r="E35" i="4"/>
  <c r="G35" i="4"/>
  <c r="D35" i="4"/>
  <c r="C35" i="4"/>
  <c r="B34" i="6" l="1"/>
  <c r="I35" i="4"/>
  <c r="H35" i="4"/>
  <c r="A35" i="6"/>
  <c r="A36" i="8" s="1"/>
  <c r="B36" i="4"/>
  <c r="C36" i="4"/>
  <c r="E36" i="4"/>
  <c r="G36" i="4"/>
  <c r="F36" i="4"/>
  <c r="D36" i="4"/>
  <c r="I36" i="4" l="1"/>
  <c r="H36" i="4"/>
  <c r="A36" i="6"/>
  <c r="A37" i="8" s="1"/>
  <c r="B35" i="6"/>
  <c r="E37" i="4"/>
  <c r="B37" i="4"/>
  <c r="F37" i="4"/>
  <c r="G37" i="4"/>
  <c r="C37" i="4"/>
  <c r="D37" i="4"/>
  <c r="H37" i="4" l="1"/>
  <c r="I37" i="4"/>
  <c r="A37" i="6"/>
  <c r="A38" i="8" s="1"/>
  <c r="B36" i="6"/>
  <c r="C38" i="4"/>
  <c r="D38" i="4"/>
  <c r="G38" i="4"/>
  <c r="E38" i="4"/>
  <c r="F38" i="4"/>
  <c r="B38" i="4"/>
  <c r="B37" i="6" l="1"/>
  <c r="I38" i="4"/>
  <c r="H38" i="4"/>
  <c r="A38" i="6"/>
  <c r="A39" i="8" s="1"/>
  <c r="B39" i="4"/>
  <c r="C39" i="4"/>
  <c r="D39" i="4"/>
  <c r="E39" i="4"/>
  <c r="F39" i="4"/>
  <c r="G39" i="4"/>
  <c r="H39" i="4" l="1"/>
  <c r="I39" i="4"/>
  <c r="A39" i="6"/>
  <c r="A40" i="8" s="1"/>
  <c r="B38" i="6"/>
  <c r="E40" i="4"/>
  <c r="F40" i="4"/>
  <c r="C40" i="4"/>
  <c r="G40" i="4"/>
  <c r="B40" i="4"/>
  <c r="D40" i="4"/>
  <c r="B39" i="6" l="1"/>
  <c r="H40" i="4"/>
  <c r="I40" i="4"/>
  <c r="A40" i="6"/>
  <c r="A41" i="8" s="1"/>
  <c r="C41" i="4"/>
  <c r="F41" i="4"/>
  <c r="B41" i="4"/>
  <c r="G41" i="4"/>
  <c r="E41" i="4"/>
  <c r="D41" i="4"/>
  <c r="B40" i="6" l="1"/>
  <c r="I41" i="4"/>
  <c r="H41" i="4"/>
  <c r="A41" i="6"/>
  <c r="A42" i="8" s="1"/>
  <c r="G42" i="4"/>
  <c r="B42" i="4"/>
  <c r="D42" i="4"/>
  <c r="C42" i="4"/>
  <c r="F42" i="4"/>
  <c r="E42" i="4"/>
  <c r="I42" i="4" l="1"/>
  <c r="H42" i="4"/>
  <c r="A42" i="6"/>
  <c r="A43" i="8" s="1"/>
  <c r="B41" i="6"/>
  <c r="G43" i="4"/>
  <c r="D43" i="4"/>
  <c r="B43" i="4"/>
  <c r="C43" i="4"/>
  <c r="E43" i="4"/>
  <c r="F43" i="4"/>
  <c r="I43" i="4" l="1"/>
  <c r="H43" i="4"/>
  <c r="A43" i="6"/>
  <c r="A44" i="8" s="1"/>
  <c r="B42" i="6"/>
  <c r="C44" i="4"/>
  <c r="E44" i="4"/>
  <c r="D44" i="4"/>
  <c r="G44" i="4"/>
  <c r="F44" i="4"/>
  <c r="B44" i="4"/>
  <c r="I44" i="4" l="1"/>
  <c r="H44" i="4"/>
  <c r="A44" i="6"/>
  <c r="A45" i="8" s="1"/>
  <c r="B43" i="6"/>
  <c r="G45" i="4"/>
  <c r="B45" i="4"/>
  <c r="C45" i="4"/>
  <c r="E45" i="4"/>
  <c r="F45" i="4"/>
  <c r="D45" i="4"/>
  <c r="B44" i="6" l="1"/>
  <c r="I45" i="4"/>
  <c r="H45" i="4"/>
  <c r="A45" i="6"/>
  <c r="A46" i="8" s="1"/>
  <c r="E46" i="4"/>
  <c r="F46" i="4"/>
  <c r="G46" i="4"/>
  <c r="C46" i="4"/>
  <c r="D46" i="4"/>
  <c r="B46" i="4"/>
  <c r="C44" i="6" l="1"/>
  <c r="D44" i="6" s="1"/>
  <c r="H46" i="4"/>
  <c r="I46" i="4"/>
  <c r="A46" i="6"/>
  <c r="A47" i="8" s="1"/>
  <c r="B45" i="6"/>
  <c r="E47" i="4"/>
  <c r="D47" i="4"/>
  <c r="F47" i="4"/>
  <c r="G47" i="4"/>
  <c r="B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E48" i="4"/>
  <c r="D48" i="4"/>
  <c r="F48" i="4"/>
  <c r="B48" i="4"/>
  <c r="C48" i="4"/>
  <c r="B47" i="6" l="1"/>
  <c r="C47" i="6" s="1"/>
  <c r="D47" i="6" s="1"/>
  <c r="K47" i="8"/>
  <c r="K46" i="8"/>
  <c r="I48" i="4"/>
  <c r="H48" i="4"/>
  <c r="A48" i="6"/>
  <c r="A49" i="8" s="1"/>
  <c r="E49" i="4"/>
  <c r="C49" i="4"/>
  <c r="F49" i="4"/>
  <c r="D49" i="4"/>
  <c r="G49" i="4"/>
  <c r="B49" i="4"/>
  <c r="K48" i="8" l="1"/>
  <c r="H49" i="4"/>
  <c r="I49" i="4"/>
  <c r="A49" i="6"/>
  <c r="A50" i="8" s="1"/>
  <c r="B48" i="6"/>
  <c r="B50" i="4"/>
  <c r="C50" i="4"/>
  <c r="F50" i="4"/>
  <c r="G50" i="4"/>
  <c r="D50" i="4"/>
  <c r="E50" i="4"/>
  <c r="B49" i="6" l="1"/>
  <c r="C49" i="6" s="1"/>
  <c r="D49" i="6" s="1"/>
  <c r="C48" i="6"/>
  <c r="D48" i="6" s="1"/>
  <c r="I50" i="4"/>
  <c r="H50" i="4"/>
  <c r="A50" i="6"/>
  <c r="A51" i="8" s="1"/>
  <c r="C51" i="4"/>
  <c r="F51" i="4"/>
  <c r="B51" i="4"/>
  <c r="E51" i="4"/>
  <c r="D51" i="4"/>
  <c r="G51" i="4"/>
  <c r="K49" i="8" l="1"/>
  <c r="K50" i="8"/>
  <c r="B50" i="6"/>
  <c r="I51" i="4"/>
  <c r="H51" i="4"/>
  <c r="A51" i="6"/>
  <c r="A52" i="8" s="1"/>
  <c r="E52" i="4"/>
  <c r="G52" i="4"/>
  <c r="C52" i="4"/>
  <c r="F52" i="4"/>
  <c r="B52" i="4"/>
  <c r="D52" i="4"/>
  <c r="C50" i="6" l="1"/>
  <c r="D50" i="6" s="1"/>
  <c r="H52" i="4"/>
  <c r="I52" i="4"/>
  <c r="A52" i="6"/>
  <c r="A53" i="8" s="1"/>
  <c r="B51" i="6"/>
  <c r="C53" i="4"/>
  <c r="B53" i="4"/>
  <c r="G53" i="4"/>
  <c r="E53" i="4"/>
  <c r="D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C54" i="4"/>
  <c r="G54" i="4"/>
  <c r="F54" i="4"/>
  <c r="B54" i="4"/>
  <c r="D54" i="4"/>
  <c r="K52" i="8" l="1"/>
  <c r="K53" i="8"/>
  <c r="B53" i="6"/>
  <c r="I54" i="4"/>
  <c r="H54" i="4"/>
  <c r="A54" i="6"/>
  <c r="A55" i="8" s="1"/>
  <c r="C55" i="4"/>
  <c r="D55" i="4"/>
  <c r="G55" i="4"/>
  <c r="F55" i="4"/>
  <c r="E55" i="4"/>
  <c r="B55" i="4"/>
  <c r="B54" i="6" l="1"/>
  <c r="C53" i="6"/>
  <c r="D53" i="6" s="1"/>
  <c r="I55" i="4"/>
  <c r="H55" i="4"/>
  <c r="A55" i="6"/>
  <c r="A56" i="8" s="1"/>
  <c r="B56" i="4"/>
  <c r="G56" i="4"/>
  <c r="F56" i="4"/>
  <c r="C56" i="4"/>
  <c r="D56" i="4"/>
  <c r="E56" i="4"/>
  <c r="K54" i="8" l="1"/>
  <c r="C54" i="6"/>
  <c r="D54" i="6" s="1"/>
  <c r="B55" i="6"/>
  <c r="I56" i="4"/>
  <c r="H56" i="4"/>
  <c r="A56" i="6"/>
  <c r="A57" i="8" s="1"/>
  <c r="C57" i="4"/>
  <c r="F57" i="4"/>
  <c r="D57" i="4"/>
  <c r="G57" i="4"/>
  <c r="E57" i="4"/>
  <c r="B57" i="4"/>
  <c r="K55" i="8" l="1"/>
  <c r="C55" i="6"/>
  <c r="D55" i="6" s="1"/>
  <c r="H57" i="4"/>
  <c r="I57" i="4"/>
  <c r="A57" i="6"/>
  <c r="A58" i="8" s="1"/>
  <c r="B56" i="6"/>
  <c r="F58" i="4"/>
  <c r="D58" i="4"/>
  <c r="C58" i="4"/>
  <c r="G58" i="4"/>
  <c r="E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F59" i="4"/>
  <c r="E59" i="4"/>
  <c r="G59" i="4"/>
  <c r="C59" i="4"/>
  <c r="B59" i="4"/>
  <c r="K58" i="8" l="1"/>
  <c r="G57" i="6"/>
  <c r="L58" i="8" s="1"/>
  <c r="K57" i="8"/>
  <c r="H59" i="4"/>
  <c r="I59" i="4"/>
  <c r="A59" i="6"/>
  <c r="A60" i="8" s="1"/>
  <c r="B58" i="6"/>
  <c r="G60" i="4"/>
  <c r="E60" i="4"/>
  <c r="F60" i="4"/>
  <c r="C60" i="4"/>
  <c r="B60" i="4"/>
  <c r="D60" i="4"/>
  <c r="B59" i="6" l="1"/>
  <c r="C59" i="6" s="1"/>
  <c r="D59" i="6" s="1"/>
  <c r="C58" i="6"/>
  <c r="D58" i="6" s="1"/>
  <c r="H60" i="4"/>
  <c r="I60" i="4"/>
  <c r="A60" i="6"/>
  <c r="A61" i="8" s="1"/>
  <c r="E61" i="4"/>
  <c r="G61" i="4"/>
  <c r="D61" i="4"/>
  <c r="F61" i="4"/>
  <c r="B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F62" i="4"/>
  <c r="B62" i="4"/>
  <c r="G62" i="4"/>
  <c r="C62" i="4"/>
  <c r="E62" i="4"/>
  <c r="D62" i="4"/>
  <c r="K61" i="8" l="1"/>
  <c r="G60" i="6"/>
  <c r="L61" i="8" s="1"/>
  <c r="B61" i="6"/>
  <c r="I62" i="4"/>
  <c r="H62" i="4"/>
  <c r="A62" i="6"/>
  <c r="A63" i="8" s="1"/>
  <c r="B63" i="4"/>
  <c r="E63" i="4"/>
  <c r="F63" i="4"/>
  <c r="G63" i="4"/>
  <c r="C63" i="4"/>
  <c r="D63" i="4"/>
  <c r="C61" i="6" l="1"/>
  <c r="D61" i="6" s="1"/>
  <c r="H63" i="4"/>
  <c r="I63" i="4"/>
  <c r="A63" i="6"/>
  <c r="A64" i="8" s="1"/>
  <c r="B62" i="6"/>
  <c r="E64" i="4"/>
  <c r="F64" i="4"/>
  <c r="G64" i="4"/>
  <c r="B64" i="4"/>
  <c r="D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D65" i="4"/>
  <c r="G65" i="4"/>
  <c r="B65" i="4"/>
  <c r="F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F66" i="4"/>
  <c r="G66" i="4"/>
  <c r="C66" i="4"/>
  <c r="E66" i="4"/>
  <c r="D66" i="4"/>
  <c r="C64" i="6" l="1"/>
  <c r="D64" i="6" s="1"/>
  <c r="H66" i="4"/>
  <c r="I66" i="4"/>
  <c r="A66" i="6"/>
  <c r="A67" i="8" s="1"/>
  <c r="B65" i="6"/>
  <c r="F67" i="4"/>
  <c r="E67" i="4"/>
  <c r="G67" i="4"/>
  <c r="B67" i="4"/>
  <c r="C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F68" i="4"/>
  <c r="G68" i="4"/>
  <c r="C68" i="4"/>
  <c r="D68" i="4"/>
  <c r="E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D69" i="4"/>
  <c r="C69" i="4"/>
  <c r="G69" i="4"/>
  <c r="E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G70" i="4"/>
  <c r="C70" i="4"/>
  <c r="E70" i="4"/>
  <c r="D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E71" i="4"/>
  <c r="G71" i="4"/>
  <c r="D71" i="4"/>
  <c r="F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C72" i="4"/>
  <c r="E72" i="4"/>
  <c r="D72" i="4"/>
  <c r="B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D73" i="4"/>
  <c r="C73" i="4"/>
  <c r="B73" i="4"/>
  <c r="E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F74" i="4"/>
  <c r="B74" i="4"/>
  <c r="G74" i="4"/>
  <c r="C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F75" i="4"/>
  <c r="B75" i="4"/>
  <c r="D75" i="4"/>
  <c r="C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C76" i="4"/>
  <c r="E76" i="4"/>
  <c r="F76" i="4"/>
  <c r="B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G77" i="4"/>
  <c r="F77" i="4"/>
  <c r="D77" i="4"/>
  <c r="C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C78" i="4"/>
  <c r="B78" i="4"/>
  <c r="E78" i="4"/>
  <c r="F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B79" i="4"/>
  <c r="E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C80" i="4"/>
  <c r="D80" i="4"/>
  <c r="B80" i="4"/>
  <c r="E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C81" i="4"/>
  <c r="D81" i="4"/>
  <c r="E81" i="4"/>
  <c r="F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E82" i="4"/>
  <c r="F82" i="4"/>
  <c r="D82" i="4"/>
  <c r="B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D83" i="4"/>
  <c r="F83" i="4"/>
  <c r="E83" i="4"/>
  <c r="C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G84" i="4"/>
  <c r="F84" i="4"/>
  <c r="D84" i="4"/>
  <c r="C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G85" i="4"/>
  <c r="D85" i="4"/>
  <c r="F85" i="4"/>
  <c r="E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G86" i="4"/>
  <c r="D86" i="4"/>
  <c r="B86" i="4"/>
  <c r="F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B87" i="4"/>
  <c r="C87" i="4"/>
  <c r="D87" i="4"/>
  <c r="G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C88" i="4"/>
  <c r="G88" i="4"/>
  <c r="E88" i="4"/>
  <c r="D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G89" i="4"/>
  <c r="C89" i="4"/>
  <c r="D89" i="4"/>
  <c r="B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B90" i="4"/>
  <c r="G90" i="4"/>
  <c r="C90" i="4"/>
  <c r="E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E91" i="4"/>
  <c r="F91" i="4"/>
  <c r="C91" i="4"/>
  <c r="D91" i="4"/>
  <c r="G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C92" i="4"/>
  <c r="B92" i="4"/>
  <c r="D92" i="4"/>
  <c r="G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E93" i="4"/>
  <c r="F93" i="4"/>
  <c r="D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D94" i="4"/>
  <c r="F94" i="4"/>
  <c r="B94" i="4"/>
  <c r="G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G95" i="4"/>
  <c r="C95" i="4"/>
  <c r="D95" i="4"/>
  <c r="F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B96" i="4"/>
  <c r="D96" i="4"/>
  <c r="E96" i="4"/>
  <c r="F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F97" i="4"/>
  <c r="E97" i="4"/>
  <c r="G97" i="4"/>
  <c r="C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G98" i="4"/>
  <c r="D98" i="4"/>
  <c r="E98" i="4"/>
  <c r="B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E99" i="4"/>
  <c r="D99" i="4"/>
  <c r="C99" i="4"/>
  <c r="B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G100" i="4"/>
  <c r="B100" i="4"/>
  <c r="D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G101" i="4"/>
  <c r="D101" i="4"/>
  <c r="F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B102" i="4"/>
  <c r="E102" i="4"/>
  <c r="F102" i="4"/>
  <c r="D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F103" i="4"/>
  <c r="D103" i="4"/>
  <c r="B103" i="4"/>
  <c r="C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D104" i="4"/>
  <c r="C104" i="4"/>
  <c r="E104" i="4"/>
  <c r="B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F105" i="4"/>
  <c r="C105" i="4"/>
  <c r="G105" i="4"/>
  <c r="E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D106" i="4"/>
  <c r="E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B107" i="4"/>
  <c r="C107" i="4"/>
  <c r="F107" i="4"/>
  <c r="E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G108" i="4"/>
  <c r="C108" i="4"/>
  <c r="E108" i="4"/>
  <c r="D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G109" i="4"/>
  <c r="E109" i="4"/>
  <c r="B109" i="4"/>
  <c r="C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C110" i="4"/>
  <c r="B110" i="4"/>
  <c r="E110" i="4"/>
  <c r="G110" i="4"/>
  <c r="D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B111" i="4"/>
  <c r="D111" i="4"/>
  <c r="C111" i="4"/>
  <c r="G111" i="4"/>
  <c r="E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F112" i="4"/>
  <c r="G112" i="4"/>
  <c r="E112" i="4"/>
  <c r="C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F113" i="4"/>
  <c r="C113" i="4"/>
  <c r="B113" i="4"/>
  <c r="D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D114" i="4"/>
  <c r="E114" i="4"/>
  <c r="C114" i="4"/>
  <c r="G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E115" i="4"/>
  <c r="C115" i="4"/>
  <c r="F115" i="4"/>
  <c r="B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B116" i="4"/>
  <c r="E116" i="4"/>
  <c r="F116" i="4"/>
  <c r="C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C117" i="4"/>
  <c r="E117" i="4"/>
  <c r="F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B118" i="4"/>
  <c r="E118" i="4"/>
  <c r="G118" i="4"/>
  <c r="F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E119" i="4"/>
  <c r="G119" i="4"/>
  <c r="F119" i="4"/>
  <c r="C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C120" i="4"/>
  <c r="B120" i="4"/>
  <c r="F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E121" i="4"/>
  <c r="B121" i="4"/>
  <c r="G121" i="4"/>
  <c r="C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B122" i="4"/>
  <c r="F122" i="4"/>
  <c r="C122" i="4"/>
  <c r="G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E123" i="4"/>
  <c r="D123" i="4"/>
  <c r="C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C124" i="4"/>
  <c r="F124" i="4"/>
  <c r="G124" i="4"/>
  <c r="E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D125" i="4"/>
  <c r="C125" i="4"/>
  <c r="F125" i="4"/>
  <c r="G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C126" i="4"/>
  <c r="G126" i="4"/>
  <c r="F126" i="4"/>
  <c r="D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C127" i="4"/>
  <c r="F127" i="4"/>
  <c r="E127" i="4"/>
  <c r="B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C128" i="4"/>
  <c r="G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G129" i="4"/>
  <c r="B129" i="4"/>
  <c r="E129" i="4"/>
  <c r="D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C130" i="4"/>
  <c r="B130" i="4"/>
  <c r="G130" i="4"/>
  <c r="D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B131" i="4"/>
  <c r="E131" i="4"/>
  <c r="G131" i="4"/>
  <c r="D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C132" i="4"/>
  <c r="D132" i="4"/>
  <c r="F132" i="4"/>
  <c r="G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F133" i="4"/>
  <c r="B133" i="4"/>
  <c r="E133" i="4"/>
  <c r="G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F134" i="4"/>
  <c r="E134" i="4"/>
  <c r="G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G135" i="4"/>
  <c r="E135" i="4"/>
  <c r="C135" i="4"/>
  <c r="F135" i="4"/>
  <c r="B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F136" i="4"/>
  <c r="B136" i="4"/>
  <c r="D136" i="4"/>
  <c r="G136" i="4"/>
  <c r="E136" i="4"/>
  <c r="C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D137" i="4"/>
  <c r="F137" i="4"/>
  <c r="B137" i="4"/>
  <c r="G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E138" i="4"/>
  <c r="G138" i="4"/>
  <c r="D138" i="4"/>
  <c r="C138" i="4"/>
  <c r="B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B139" i="4"/>
  <c r="E139" i="4"/>
  <c r="F139" i="4"/>
  <c r="C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D140" i="4"/>
  <c r="E140" i="4"/>
  <c r="G140" i="4"/>
  <c r="C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F141" i="4"/>
  <c r="C141" i="4"/>
  <c r="B141" i="4"/>
  <c r="E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D142" i="4"/>
  <c r="C142" i="4"/>
  <c r="B142" i="4"/>
  <c r="E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D143" i="4"/>
  <c r="E143" i="4"/>
  <c r="F143" i="4"/>
  <c r="G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G144" i="4"/>
  <c r="E144" i="4"/>
  <c r="C144" i="4"/>
  <c r="B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D145" i="4"/>
  <c r="C145" i="4"/>
  <c r="E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C146" i="4"/>
  <c r="F146" i="4"/>
  <c r="D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E147" i="4"/>
  <c r="G147" i="4"/>
  <c r="F147" i="4"/>
  <c r="C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F148" i="4"/>
  <c r="G148" i="4"/>
  <c r="E148" i="4"/>
  <c r="C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E149" i="4"/>
  <c r="F149" i="4"/>
  <c r="D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E150" i="4"/>
  <c r="G150" i="4"/>
  <c r="B150" i="4"/>
  <c r="D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C151" i="4"/>
  <c r="F151" i="4"/>
  <c r="B151" i="4"/>
  <c r="E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C152" i="4"/>
  <c r="B152" i="4"/>
  <c r="E152" i="4"/>
  <c r="G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B153" i="4"/>
  <c r="D153" i="4"/>
  <c r="C153" i="4"/>
  <c r="G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C154" i="4"/>
  <c r="E154" i="4"/>
  <c r="D154" i="4"/>
  <c r="B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G155" i="4"/>
  <c r="F155" i="4"/>
  <c r="C155" i="4"/>
  <c r="E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B156" i="4"/>
  <c r="G156" i="4"/>
  <c r="C156" i="4"/>
  <c r="E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F157" i="4"/>
  <c r="B157" i="4"/>
  <c r="E157" i="4"/>
  <c r="D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F158" i="4"/>
  <c r="G158" i="4"/>
  <c r="E158" i="4"/>
  <c r="B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C159" i="4"/>
  <c r="E159" i="4"/>
  <c r="G159" i="4"/>
  <c r="D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E160" i="4"/>
  <c r="D160" i="4"/>
  <c r="G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D161" i="4"/>
  <c r="B161" i="4"/>
  <c r="F161" i="4"/>
  <c r="C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F162" i="4"/>
  <c r="E162" i="4"/>
  <c r="B162" i="4"/>
  <c r="D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F163" i="4"/>
  <c r="B163" i="4"/>
  <c r="C163" i="4"/>
  <c r="D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D164" i="4"/>
  <c r="C164" i="4"/>
  <c r="G164" i="4"/>
  <c r="B164" i="4"/>
  <c r="F164" i="4"/>
  <c r="E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F165" i="4"/>
  <c r="D165" i="4"/>
  <c r="C165" i="4"/>
  <c r="B165" i="4"/>
  <c r="G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G166" i="4"/>
  <c r="F166" i="4"/>
  <c r="B166" i="4"/>
  <c r="E166" i="4"/>
  <c r="D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C167" i="4"/>
  <c r="B167" i="4"/>
  <c r="E167" i="4"/>
  <c r="F167" i="4"/>
  <c r="D167" i="4"/>
  <c r="G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F168" i="4"/>
  <c r="E168" i="4"/>
  <c r="C168" i="4"/>
  <c r="D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E169" i="4"/>
  <c r="C169" i="4"/>
  <c r="D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G170" i="4"/>
  <c r="B170" i="4"/>
  <c r="D170" i="4"/>
  <c r="C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E171" i="4"/>
  <c r="D171" i="4"/>
  <c r="F171" i="4"/>
  <c r="G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F172" i="4"/>
  <c r="D172" i="4"/>
  <c r="C172" i="4"/>
  <c r="G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F173" i="4"/>
  <c r="E173" i="4"/>
  <c r="B173" i="4"/>
  <c r="G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B174" i="4"/>
  <c r="G174" i="4"/>
  <c r="D174" i="4"/>
  <c r="F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C175" i="4"/>
  <c r="E175" i="4"/>
  <c r="D175" i="4"/>
  <c r="G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G176" i="4"/>
  <c r="D176" i="4"/>
  <c r="C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D177" i="4"/>
  <c r="B177" i="4"/>
  <c r="G177" i="4"/>
  <c r="F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C178" i="4"/>
  <c r="E178" i="4"/>
  <c r="D178" i="4"/>
  <c r="G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F179" i="4"/>
  <c r="E179" i="4"/>
  <c r="D179" i="4"/>
  <c r="C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G180" i="4"/>
  <c r="C180" i="4"/>
  <c r="D180" i="4"/>
  <c r="B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D181" i="4"/>
  <c r="E181" i="4"/>
  <c r="F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G182" i="4"/>
  <c r="E182" i="4"/>
  <c r="D182" i="4"/>
  <c r="B182" i="4"/>
  <c r="C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B183" i="4"/>
  <c r="F183" i="4"/>
  <c r="D183" i="4"/>
  <c r="E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B184" i="4"/>
  <c r="D184" i="4"/>
  <c r="F184" i="4"/>
  <c r="C184" i="4"/>
  <c r="G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G185" i="4"/>
  <c r="C185" i="4"/>
  <c r="E185" i="4"/>
  <c r="F185" i="4"/>
  <c r="B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E186" i="4"/>
  <c r="B186" i="4"/>
  <c r="F186" i="4"/>
  <c r="G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G187" i="4"/>
  <c r="F187" i="4"/>
  <c r="B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G188" i="4"/>
  <c r="B188" i="4"/>
  <c r="D188" i="4"/>
  <c r="F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G189" i="4"/>
  <c r="D189" i="4"/>
  <c r="C189" i="4"/>
  <c r="F189" i="4"/>
  <c r="B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E190" i="4"/>
  <c r="C190" i="4"/>
  <c r="D190" i="4"/>
  <c r="B190" i="4"/>
  <c r="G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C191" i="4"/>
  <c r="F191" i="4"/>
  <c r="B191" i="4"/>
  <c r="G191" i="4"/>
  <c r="E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F192" i="4"/>
  <c r="B192" i="4"/>
  <c r="E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E193" i="4"/>
  <c r="G193" i="4"/>
  <c r="D193" i="4"/>
  <c r="F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G194" i="4"/>
  <c r="F194" i="4"/>
  <c r="B194" i="4"/>
  <c r="D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B195" i="4"/>
  <c r="F195" i="4"/>
  <c r="D195" i="4"/>
  <c r="G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G196" i="4"/>
  <c r="E196" i="4"/>
  <c r="C196" i="4"/>
  <c r="F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G197" i="4"/>
  <c r="B197" i="4"/>
  <c r="E197" i="4"/>
  <c r="D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F198" i="4"/>
  <c r="G198" i="4"/>
  <c r="D198" i="4"/>
  <c r="C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E199" i="4"/>
  <c r="C199" i="4"/>
  <c r="G199" i="4"/>
  <c r="D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G200" i="4"/>
  <c r="B200" i="4"/>
  <c r="F200" i="4"/>
  <c r="E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F201" i="4"/>
  <c r="B201" i="4"/>
  <c r="E201" i="4"/>
  <c r="G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E202" i="4"/>
  <c r="F202" i="4"/>
  <c r="G202" i="4"/>
  <c r="B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B203" i="4"/>
  <c r="D203" i="4"/>
  <c r="E203" i="4"/>
  <c r="G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G204" i="4"/>
  <c r="E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C205" i="4"/>
  <c r="B205" i="4"/>
  <c r="D205" i="4"/>
  <c r="F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E206" i="4"/>
  <c r="F206" i="4"/>
  <c r="C206" i="4"/>
  <c r="B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F207" i="4"/>
  <c r="E207" i="4"/>
  <c r="G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B208" i="4"/>
  <c r="G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G209" i="4"/>
  <c r="B209" i="4"/>
  <c r="C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D210" i="4"/>
  <c r="G210" i="4"/>
  <c r="B210" i="4"/>
  <c r="E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G211" i="4"/>
  <c r="C211" i="4"/>
  <c r="F211" i="4"/>
  <c r="D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E212" i="4"/>
  <c r="G212" i="4"/>
  <c r="D212" i="4"/>
  <c r="C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F213" i="4"/>
  <c r="C213" i="4"/>
  <c r="B213" i="4"/>
  <c r="E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B214" i="4"/>
  <c r="D214" i="4"/>
  <c r="G214" i="4"/>
  <c r="E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C215" i="4"/>
  <c r="B215" i="4"/>
  <c r="D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B216" i="4"/>
  <c r="F216" i="4"/>
  <c r="C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D217" i="4"/>
  <c r="G217" i="4"/>
  <c r="B217" i="4"/>
  <c r="C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B218" i="4"/>
  <c r="C218" i="4"/>
  <c r="G218" i="4"/>
  <c r="E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F219" i="4"/>
  <c r="G219" i="4"/>
  <c r="E219" i="4"/>
  <c r="C219" i="4"/>
  <c r="D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E220" i="4"/>
  <c r="G220" i="4"/>
  <c r="D220" i="4"/>
  <c r="B220" i="4"/>
  <c r="C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D221" i="4"/>
  <c r="G221" i="4"/>
  <c r="C221" i="4"/>
  <c r="E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D222" i="4"/>
  <c r="G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C223" i="4"/>
  <c r="G223" i="4"/>
  <c r="B223" i="4"/>
  <c r="F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B224" i="4"/>
  <c r="F224" i="4"/>
  <c r="C224" i="4"/>
  <c r="G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G225" i="4"/>
  <c r="C225" i="4"/>
  <c r="D225" i="4"/>
  <c r="F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B226" i="4"/>
  <c r="E226" i="4"/>
  <c r="G226" i="4"/>
  <c r="C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G227" i="4"/>
  <c r="C227" i="4"/>
  <c r="F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B228" i="4"/>
  <c r="G228" i="4"/>
  <c r="C228" i="4"/>
  <c r="E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C229" i="4"/>
  <c r="E229" i="4"/>
  <c r="B229" i="4"/>
  <c r="F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C230" i="4"/>
  <c r="F230" i="4"/>
  <c r="D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F231" i="4"/>
  <c r="C231" i="4"/>
  <c r="G231" i="4"/>
  <c r="D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D232" i="4"/>
  <c r="G232" i="4"/>
  <c r="F232" i="4"/>
  <c r="E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D233" i="4"/>
  <c r="E233" i="4"/>
  <c r="B233" i="4"/>
  <c r="F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F234" i="4"/>
  <c r="B234" i="4"/>
  <c r="D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C235" i="4"/>
  <c r="E235" i="4"/>
  <c r="F235" i="4"/>
  <c r="G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F236" i="4"/>
  <c r="B236" i="4"/>
  <c r="D236" i="4"/>
  <c r="C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G237" i="4"/>
  <c r="C237" i="4"/>
  <c r="E237" i="4"/>
  <c r="D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F238" i="4"/>
  <c r="B238" i="4"/>
  <c r="C238" i="4"/>
  <c r="D238" i="4"/>
  <c r="E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F239" i="4"/>
  <c r="D239" i="4"/>
  <c r="C239" i="4"/>
  <c r="E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C240" i="4"/>
  <c r="B240" i="4"/>
  <c r="F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G241" i="4"/>
  <c r="C241" i="4"/>
  <c r="D241" i="4"/>
  <c r="B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C242" i="4"/>
  <c r="D242" i="4"/>
  <c r="G242" i="4"/>
  <c r="B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G243" i="4"/>
  <c r="E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G244" i="4"/>
  <c r="E244" i="4"/>
  <c r="F244" i="4"/>
  <c r="C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D245" i="4"/>
  <c r="E245" i="4"/>
  <c r="B245" i="4"/>
  <c r="F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D246" i="4"/>
  <c r="E246" i="4"/>
  <c r="C246" i="4"/>
  <c r="G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F247" i="4"/>
  <c r="D247" i="4"/>
  <c r="C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B248" i="4"/>
  <c r="C248" i="4"/>
  <c r="G248" i="4"/>
  <c r="E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G249" i="4"/>
  <c r="E249" i="4"/>
  <c r="F249" i="4"/>
  <c r="D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G250" i="4"/>
  <c r="D250" i="4"/>
  <c r="E250" i="4"/>
  <c r="C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E251" i="4"/>
  <c r="C251" i="4"/>
  <c r="B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G252" i="4"/>
  <c r="B252" i="4"/>
  <c r="E252" i="4"/>
  <c r="D252" i="4"/>
  <c r="C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E253" i="4"/>
  <c r="B253" i="4"/>
  <c r="G253" i="4"/>
  <c r="F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E254" i="4"/>
  <c r="B254" i="4"/>
  <c r="D254" i="4"/>
  <c r="C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C255" i="4"/>
  <c r="F255" i="4"/>
  <c r="E255" i="4"/>
  <c r="B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E256" i="4"/>
  <c r="D256" i="4"/>
  <c r="F256" i="4"/>
  <c r="G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F257" i="4"/>
  <c r="C257" i="4"/>
  <c r="E257" i="4"/>
  <c r="D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G258" i="4"/>
  <c r="D258" i="4"/>
  <c r="C258" i="4"/>
  <c r="B258" i="4"/>
  <c r="E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D259" i="4"/>
  <c r="F259" i="4"/>
  <c r="G259" i="4"/>
  <c r="C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G260" i="4"/>
  <c r="D260" i="4"/>
  <c r="E260" i="4"/>
  <c r="B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F261" i="4"/>
  <c r="B261" i="4"/>
  <c r="D261" i="4"/>
  <c r="G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C262" i="4"/>
  <c r="F262" i="4"/>
  <c r="B262" i="4"/>
  <c r="E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B263" i="4"/>
  <c r="C263" i="4"/>
  <c r="F263" i="4"/>
  <c r="D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C264" i="4"/>
  <c r="E264" i="4"/>
  <c r="D264" i="4"/>
  <c r="F264" i="4"/>
  <c r="G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C265" i="4"/>
  <c r="D265" i="4"/>
  <c r="E265" i="4"/>
  <c r="F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E266" i="4"/>
  <c r="G266" i="4"/>
  <c r="D266" i="4"/>
  <c r="F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C267" i="4"/>
  <c r="E267" i="4"/>
  <c r="B267" i="4"/>
  <c r="D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F268" i="4"/>
  <c r="G268" i="4"/>
  <c r="E268" i="4"/>
  <c r="D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D269" i="4"/>
  <c r="E269" i="4"/>
  <c r="C269" i="4"/>
  <c r="F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C270" i="4"/>
  <c r="B270" i="4"/>
  <c r="G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D271" i="4"/>
  <c r="G271" i="4"/>
  <c r="F271" i="4"/>
  <c r="B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E272" i="4"/>
  <c r="F272" i="4"/>
  <c r="D272" i="4"/>
  <c r="C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G273" i="4"/>
  <c r="C273" i="4"/>
  <c r="F273" i="4"/>
  <c r="B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F274" i="4"/>
  <c r="G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C275" i="4"/>
  <c r="B275" i="4"/>
  <c r="G275" i="4"/>
  <c r="E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F276" i="4"/>
  <c r="G276" i="4"/>
  <c r="B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B277" i="4"/>
  <c r="F277" i="4"/>
  <c r="D277" i="4"/>
  <c r="G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E278" i="4"/>
  <c r="G278" i="4"/>
  <c r="F278" i="4"/>
  <c r="B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D279" i="4"/>
  <c r="G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C280" i="4"/>
  <c r="F280" i="4"/>
  <c r="G280" i="4"/>
  <c r="E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F281" i="4"/>
  <c r="B281" i="4"/>
  <c r="G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F282" i="4"/>
  <c r="D282" i="4"/>
  <c r="E282" i="4"/>
  <c r="B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C283" i="4"/>
  <c r="F283" i="4"/>
  <c r="E283" i="4"/>
  <c r="B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G284" i="4"/>
  <c r="E284" i="4"/>
  <c r="D284" i="4"/>
  <c r="F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C285" i="4"/>
  <c r="B285" i="4"/>
  <c r="G285" i="4"/>
  <c r="E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D286" i="4"/>
  <c r="G286" i="4"/>
  <c r="B286" i="4"/>
  <c r="E286" i="4"/>
  <c r="C286" i="4"/>
  <c r="F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D287" i="4"/>
  <c r="F287" i="4"/>
  <c r="B287" i="4"/>
  <c r="C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D288" i="4"/>
  <c r="G288" i="4"/>
  <c r="C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G289" i="4"/>
  <c r="D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E290" i="4"/>
  <c r="F290" i="4"/>
  <c r="B290" i="4"/>
  <c r="D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B291" i="4"/>
  <c r="D291" i="4"/>
  <c r="F291" i="4"/>
  <c r="G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E292" i="4"/>
  <c r="F292" i="4"/>
  <c r="B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D293" i="4"/>
  <c r="B293" i="4"/>
  <c r="G293" i="4"/>
  <c r="F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C294" i="4"/>
  <c r="B294" i="4"/>
  <c r="F294" i="4"/>
  <c r="G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C295" i="4"/>
  <c r="D295" i="4"/>
  <c r="E295" i="4"/>
  <c r="G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C296" i="4"/>
  <c r="E296" i="4"/>
  <c r="F296" i="4"/>
  <c r="B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C297" i="4"/>
  <c r="E297" i="4"/>
  <c r="G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B298" i="4"/>
  <c r="G298" i="4"/>
  <c r="E298" i="4"/>
  <c r="D298" i="4"/>
  <c r="C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G299" i="4"/>
  <c r="B299" i="4"/>
  <c r="F299" i="4"/>
  <c r="C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B300" i="4"/>
  <c r="G300" i="4"/>
  <c r="E300" i="4"/>
  <c r="D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F301" i="4"/>
  <c r="G301" i="4"/>
  <c r="D301" i="4"/>
  <c r="E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C302" i="4"/>
  <c r="B302" i="4"/>
  <c r="F302" i="4"/>
  <c r="G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C303" i="4"/>
  <c r="D303" i="4"/>
  <c r="F303" i="4"/>
  <c r="E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C304" i="4"/>
  <c r="D304" i="4"/>
  <c r="G304" i="4"/>
  <c r="B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F305" i="4"/>
  <c r="E305" i="4"/>
  <c r="G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B306" i="4"/>
  <c r="G306" i="4"/>
  <c r="F306" i="4"/>
  <c r="E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E307" i="4"/>
  <c r="F307" i="4"/>
  <c r="C307" i="4"/>
  <c r="G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G308" i="4"/>
  <c r="F308" i="4"/>
  <c r="D308" i="4"/>
  <c r="B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C309" i="4"/>
  <c r="D309" i="4"/>
  <c r="G309" i="4"/>
  <c r="E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F310" i="4"/>
  <c r="D310" i="4"/>
  <c r="G310" i="4"/>
  <c r="E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G311" i="4"/>
  <c r="C311" i="4"/>
  <c r="B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E312" i="4"/>
  <c r="F312" i="4"/>
  <c r="G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C313" i="4"/>
  <c r="G313" i="4"/>
  <c r="F313" i="4"/>
  <c r="D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G314" i="4"/>
  <c r="E314" i="4"/>
  <c r="C314" i="4"/>
  <c r="F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F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C316" i="4"/>
  <c r="E316" i="4"/>
  <c r="G316" i="4"/>
  <c r="D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G317" i="4"/>
  <c r="E317" i="4"/>
  <c r="C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E318" i="4"/>
  <c r="C318" i="4"/>
  <c r="F318" i="4"/>
  <c r="G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E319" i="4"/>
  <c r="C319" i="4"/>
  <c r="D319" i="4"/>
  <c r="G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G320" i="4"/>
  <c r="E320" i="4"/>
  <c r="C320" i="4"/>
  <c r="D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B321" i="4"/>
  <c r="C321" i="4"/>
  <c r="F321" i="4"/>
  <c r="G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G322" i="4"/>
  <c r="B322" i="4"/>
  <c r="F322" i="4"/>
  <c r="E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F323" i="4"/>
  <c r="C323" i="4"/>
  <c r="E323" i="4"/>
  <c r="B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C324" i="4"/>
  <c r="F324" i="4"/>
  <c r="E324" i="4"/>
  <c r="G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F325" i="4"/>
  <c r="C325" i="4"/>
  <c r="E325" i="4"/>
  <c r="B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B326" i="4"/>
  <c r="F326" i="4"/>
  <c r="D326" i="4"/>
  <c r="G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F327" i="4"/>
  <c r="C327" i="4"/>
  <c r="B327" i="4"/>
  <c r="E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E328" i="4"/>
  <c r="B328" i="4"/>
  <c r="C328" i="4"/>
  <c r="F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B329" i="4"/>
  <c r="G329" i="4"/>
  <c r="D329" i="4"/>
  <c r="C329" i="4"/>
  <c r="E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B330" i="4"/>
  <c r="G330" i="4"/>
  <c r="C330" i="4"/>
  <c r="F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F331" i="4"/>
  <c r="C331" i="4"/>
  <c r="G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G332" i="4"/>
  <c r="B332" i="4"/>
  <c r="F332" i="4"/>
  <c r="E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B333" i="4"/>
  <c r="E333" i="4"/>
  <c r="C333" i="4"/>
  <c r="G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F334" i="4"/>
  <c r="G334" i="4"/>
  <c r="D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C335" i="4"/>
  <c r="G335" i="4"/>
  <c r="D335" i="4"/>
  <c r="F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B336" i="4"/>
  <c r="F336" i="4"/>
  <c r="G336" i="4"/>
  <c r="D336" i="4"/>
  <c r="E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F337" i="4"/>
  <c r="G337" i="4"/>
  <c r="B337" i="4"/>
  <c r="D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E338" i="4"/>
  <c r="D338" i="4"/>
  <c r="B338" i="4"/>
  <c r="C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C339" i="4"/>
  <c r="F339" i="4"/>
  <c r="G339" i="4"/>
  <c r="D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E340" i="4"/>
  <c r="D340" i="4"/>
  <c r="C340" i="4"/>
  <c r="G340" i="4"/>
  <c r="F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E341" i="4"/>
  <c r="B341" i="4"/>
  <c r="F341" i="4"/>
  <c r="G341" i="4"/>
  <c r="D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C342" i="4"/>
  <c r="D342" i="4"/>
  <c r="F342" i="4"/>
  <c r="G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D343" i="4"/>
  <c r="F343" i="4"/>
  <c r="E343" i="4"/>
  <c r="G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D344" i="4"/>
  <c r="F344" i="4"/>
  <c r="E344" i="4"/>
  <c r="B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G345" i="4"/>
  <c r="F345" i="4"/>
  <c r="C345" i="4"/>
  <c r="B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F346" i="4"/>
  <c r="C346" i="4"/>
  <c r="G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F347" i="4"/>
  <c r="E347" i="4"/>
  <c r="D347" i="4"/>
  <c r="G347" i="4"/>
  <c r="C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B348" i="4"/>
  <c r="D348" i="4"/>
  <c r="G348" i="4"/>
  <c r="F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C349" i="4"/>
  <c r="B349" i="4"/>
  <c r="D349" i="4"/>
  <c r="F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F350" i="4"/>
  <c r="C350" i="4"/>
  <c r="B350" i="4"/>
  <c r="D350" i="4"/>
  <c r="G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B351" i="4"/>
  <c r="C351" i="4"/>
  <c r="E351" i="4"/>
  <c r="D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D352" i="4"/>
  <c r="C352" i="4"/>
  <c r="E352" i="4"/>
  <c r="F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D353" i="4"/>
  <c r="C353" i="4"/>
  <c r="B353" i="4"/>
  <c r="E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B354" i="4"/>
  <c r="G354" i="4"/>
  <c r="E354" i="4"/>
  <c r="F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G355" i="4"/>
  <c r="E355" i="4"/>
  <c r="F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E356" i="4"/>
  <c r="G356" i="4"/>
  <c r="C356" i="4"/>
  <c r="F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D357" i="4"/>
  <c r="C357" i="4"/>
  <c r="F357" i="4"/>
  <c r="B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B358" i="4"/>
  <c r="C358" i="4"/>
  <c r="G358" i="4"/>
  <c r="D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G359" i="4"/>
  <c r="E359" i="4"/>
  <c r="B359" i="4"/>
  <c r="D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E360" i="4"/>
  <c r="C360" i="4"/>
  <c r="G360" i="4"/>
  <c r="B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C361" i="4"/>
  <c r="E361" i="4"/>
  <c r="F361" i="4"/>
  <c r="D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C362" i="4"/>
  <c r="F362" i="4"/>
  <c r="G362" i="4"/>
  <c r="B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D363" i="4"/>
  <c r="C363" i="4"/>
  <c r="B363" i="4"/>
  <c r="F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D364" i="4"/>
  <c r="F364" i="4"/>
  <c r="G364" i="4"/>
  <c r="B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C365" i="4"/>
  <c r="D365" i="4"/>
  <c r="F365" i="4"/>
  <c r="G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F366" i="4"/>
  <c r="C366" i="4"/>
  <c r="G366" i="4"/>
  <c r="B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F367" i="4"/>
  <c r="D367" i="4"/>
  <c r="G367" i="4"/>
  <c r="C367" i="4"/>
  <c r="E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F368" i="4"/>
  <c r="B368" i="4"/>
  <c r="G368" i="4"/>
  <c r="C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D369" i="4"/>
  <c r="F369" i="4"/>
  <c r="B369" i="4"/>
  <c r="E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G370" i="4"/>
  <c r="D370" i="4"/>
  <c r="B370" i="4"/>
  <c r="E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F371" i="4"/>
  <c r="E371" i="4"/>
  <c r="D371" i="4"/>
  <c r="B371" i="4"/>
  <c r="C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G372" i="4"/>
  <c r="F372" i="4"/>
  <c r="C372" i="4"/>
  <c r="E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D373" i="4"/>
  <c r="G373" i="4"/>
  <c r="B373" i="4"/>
  <c r="E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F374" i="4"/>
  <c r="B374" i="4"/>
  <c r="C374" i="4"/>
  <c r="E374" i="4"/>
  <c r="G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E375" i="4"/>
  <c r="F375" i="4"/>
  <c r="D375" i="4"/>
  <c r="B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B376" i="4"/>
  <c r="F376" i="4"/>
  <c r="D376" i="4"/>
  <c r="E376" i="4"/>
  <c r="G376" i="4"/>
  <c r="C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G377" i="4"/>
  <c r="B377" i="4"/>
  <c r="D377" i="4"/>
  <c r="E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F378" i="4"/>
  <c r="E378" i="4"/>
  <c r="D378" i="4"/>
  <c r="B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G379" i="4"/>
  <c r="C379" i="4"/>
  <c r="B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D380" i="4"/>
  <c r="B380" i="4"/>
  <c r="F380" i="4"/>
  <c r="C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B381" i="4"/>
  <c r="D381" i="4"/>
  <c r="C381" i="4"/>
  <c r="E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D382" i="4"/>
  <c r="B382" i="4"/>
  <c r="E382" i="4"/>
  <c r="F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D383" i="4"/>
  <c r="F383" i="4"/>
  <c r="G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G384" i="4"/>
  <c r="F384" i="4"/>
  <c r="D384" i="4"/>
  <c r="B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B385" i="4"/>
  <c r="C385" i="4"/>
  <c r="G385" i="4"/>
  <c r="D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F386" i="4"/>
  <c r="E386" i="4"/>
  <c r="G386" i="4"/>
  <c r="D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G387" i="4"/>
  <c r="F387" i="4"/>
  <c r="E387" i="4"/>
  <c r="C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B388" i="4"/>
  <c r="E388" i="4"/>
  <c r="G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C389" i="4"/>
  <c r="G389" i="4"/>
  <c r="D389" i="4"/>
  <c r="F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G390" i="4"/>
  <c r="E390" i="4"/>
  <c r="C390" i="4"/>
  <c r="F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B391" i="4"/>
  <c r="D391" i="4"/>
  <c r="G391" i="4"/>
  <c r="E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F392" i="4"/>
  <c r="E392" i="4"/>
  <c r="C392" i="4"/>
  <c r="D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D393" i="4"/>
  <c r="C393" i="4"/>
  <c r="G393" i="4"/>
  <c r="F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G394" i="4"/>
  <c r="B394" i="4"/>
  <c r="D394" i="4"/>
  <c r="F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C395" i="4"/>
  <c r="F395" i="4"/>
  <c r="D395" i="4"/>
  <c r="G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D396" i="4"/>
  <c r="E396" i="4"/>
  <c r="F396" i="4"/>
  <c r="B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F397" i="4"/>
  <c r="D397" i="4"/>
  <c r="C397" i="4"/>
  <c r="G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D398" i="4"/>
  <c r="F398" i="4"/>
  <c r="G398" i="4"/>
  <c r="C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F399" i="4"/>
  <c r="B399" i="4"/>
  <c r="D399" i="4"/>
  <c r="C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D400" i="4"/>
  <c r="G400" i="4"/>
  <c r="C400" i="4"/>
  <c r="B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C401" i="4"/>
  <c r="D401" i="4"/>
  <c r="B401" i="4"/>
  <c r="G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D402" i="4"/>
  <c r="G402" i="4"/>
  <c r="E402" i="4"/>
  <c r="C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F403" i="4"/>
  <c r="C403" i="4"/>
  <c r="G403" i="4"/>
  <c r="B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D404" i="4"/>
  <c r="G404" i="4"/>
  <c r="C404" i="4"/>
  <c r="E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E405" i="4"/>
  <c r="D405" i="4"/>
  <c r="F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B406" i="4"/>
  <c r="G406" i="4"/>
  <c r="F406" i="4"/>
  <c r="D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E407" i="4"/>
  <c r="F407" i="4"/>
  <c r="D407" i="4"/>
  <c r="G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E408" i="4"/>
  <c r="G408" i="4"/>
  <c r="F408" i="4"/>
  <c r="B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G409" i="4"/>
  <c r="D409" i="4"/>
  <c r="C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F410" i="4"/>
  <c r="D410" i="4"/>
  <c r="B410" i="4"/>
  <c r="E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E411" i="4"/>
  <c r="F411" i="4"/>
  <c r="C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E412" i="4"/>
  <c r="F412" i="4"/>
  <c r="D412" i="4"/>
  <c r="C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G413" i="4"/>
  <c r="C413" i="4"/>
  <c r="B413" i="4"/>
  <c r="E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D414" i="4"/>
  <c r="B414" i="4"/>
  <c r="G414" i="4"/>
  <c r="C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G415" i="4"/>
  <c r="D415" i="4"/>
  <c r="C415" i="4"/>
  <c r="E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B416" i="4"/>
  <c r="D416" i="4"/>
  <c r="E416" i="4"/>
  <c r="F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G417" i="4"/>
  <c r="B417" i="4"/>
  <c r="F417" i="4"/>
  <c r="D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E418" i="4"/>
  <c r="D418" i="4"/>
  <c r="F418" i="4"/>
  <c r="G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F419" i="4"/>
  <c r="G419" i="4"/>
  <c r="E419" i="4"/>
  <c r="B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F420" i="4"/>
  <c r="C420" i="4"/>
  <c r="G420" i="4"/>
  <c r="B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D421" i="4"/>
  <c r="C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F422" i="4"/>
  <c r="B422" i="4"/>
  <c r="C422" i="4"/>
  <c r="E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F423" i="4"/>
  <c r="B423" i="4"/>
  <c r="G423" i="4"/>
  <c r="E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G424" i="4"/>
  <c r="B424" i="4"/>
  <c r="E424" i="4"/>
  <c r="C424" i="4"/>
  <c r="D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C425" i="4"/>
  <c r="G425" i="4"/>
  <c r="E425" i="4"/>
  <c r="B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E426" i="4"/>
  <c r="B426" i="4"/>
  <c r="D426" i="4"/>
  <c r="C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F427" i="4"/>
  <c r="B427" i="4"/>
  <c r="E427" i="4"/>
  <c r="C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G428" i="4"/>
  <c r="C428" i="4"/>
  <c r="E428" i="4"/>
  <c r="B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C429" i="4"/>
  <c r="B429" i="4"/>
  <c r="G429" i="4"/>
  <c r="D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G430" i="4"/>
  <c r="E430" i="4"/>
  <c r="D430" i="4"/>
  <c r="B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F431" i="4"/>
  <c r="C431" i="4"/>
  <c r="G431" i="4"/>
  <c r="D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G432" i="4"/>
  <c r="E432" i="4"/>
  <c r="F432" i="4"/>
  <c r="B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E433" i="4"/>
  <c r="F433" i="4"/>
  <c r="D433" i="4"/>
  <c r="G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D434" i="4"/>
  <c r="F434" i="4"/>
  <c r="G434" i="4"/>
  <c r="C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E435" i="4"/>
  <c r="F435" i="4"/>
  <c r="G435" i="4"/>
  <c r="D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C436" i="4"/>
  <c r="F436" i="4"/>
  <c r="G436" i="4"/>
  <c r="E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C437" i="4"/>
  <c r="D437" i="4"/>
  <c r="E437" i="4"/>
  <c r="G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G438" i="4"/>
  <c r="F438" i="4"/>
  <c r="B438" i="4"/>
  <c r="D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F439" i="4"/>
  <c r="G439" i="4"/>
  <c r="B439" i="4"/>
  <c r="D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G440" i="4"/>
  <c r="B440" i="4"/>
  <c r="E440" i="4"/>
  <c r="F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G441" i="4"/>
  <c r="F441" i="4"/>
  <c r="D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E442" i="4"/>
  <c r="B442" i="4"/>
  <c r="F442" i="4"/>
  <c r="D442" i="4"/>
  <c r="G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C443" i="4"/>
  <c r="B443" i="4"/>
  <c r="G443" i="4"/>
  <c r="E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B444" i="4"/>
  <c r="E444" i="4"/>
  <c r="D444" i="4"/>
  <c r="F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D445" i="4"/>
  <c r="F445" i="4"/>
  <c r="C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G446" i="4"/>
  <c r="F446" i="4"/>
  <c r="B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C447" i="4"/>
  <c r="D447" i="4"/>
  <c r="F447" i="4"/>
  <c r="B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G448" i="4"/>
  <c r="B448" i="4"/>
  <c r="C448" i="4"/>
  <c r="F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B449" i="4"/>
  <c r="G449" i="4"/>
  <c r="D449" i="4"/>
  <c r="C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B450" i="4"/>
  <c r="E450" i="4"/>
  <c r="C450" i="4"/>
  <c r="D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F451" i="4"/>
  <c r="D451" i="4"/>
  <c r="C451" i="4"/>
  <c r="B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F452" i="4"/>
  <c r="C452" i="4"/>
  <c r="B452" i="4"/>
  <c r="D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F453" i="4"/>
  <c r="C453" i="4"/>
  <c r="B453" i="4"/>
  <c r="G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B454" i="4"/>
  <c r="D454" i="4"/>
  <c r="F454" i="4"/>
  <c r="G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B455" i="4"/>
  <c r="G455" i="4"/>
  <c r="D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C456" i="4"/>
  <c r="D456" i="4"/>
  <c r="G456" i="4"/>
  <c r="F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G457" i="4"/>
  <c r="D457" i="4"/>
  <c r="E457" i="4"/>
  <c r="F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E458" i="4"/>
  <c r="G458" i="4"/>
  <c r="B458" i="4"/>
  <c r="F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C459" i="4"/>
  <c r="E459" i="4"/>
  <c r="G459" i="4"/>
  <c r="F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D460" i="4"/>
  <c r="E460" i="4"/>
  <c r="C460" i="4"/>
  <c r="B460" i="4"/>
  <c r="F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E461" i="4"/>
  <c r="C461" i="4"/>
  <c r="D461" i="4"/>
  <c r="G461" i="4"/>
  <c r="F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C462" i="4"/>
  <c r="D462" i="4"/>
  <c r="B462" i="4"/>
  <c r="F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F463" i="4"/>
  <c r="G463" i="4"/>
  <c r="D463" i="4"/>
  <c r="C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G464" i="4"/>
  <c r="D464" i="4"/>
  <c r="B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G465" i="4"/>
  <c r="E465" i="4"/>
  <c r="F465" i="4"/>
  <c r="C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C466" i="4"/>
  <c r="D466" i="4"/>
  <c r="F466" i="4"/>
  <c r="E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C467" i="4"/>
  <c r="F467" i="4"/>
  <c r="E467" i="4"/>
  <c r="G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C468" i="4"/>
  <c r="F468" i="4"/>
  <c r="B468" i="4"/>
  <c r="G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E469" i="4"/>
  <c r="C469" i="4"/>
  <c r="G469" i="4"/>
  <c r="B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B470" i="4"/>
  <c r="C470" i="4"/>
  <c r="E470" i="4"/>
  <c r="D470" i="4"/>
  <c r="G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F471" i="4"/>
  <c r="C471" i="4"/>
  <c r="G471" i="4"/>
  <c r="D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C472" i="4"/>
  <c r="D472" i="4"/>
  <c r="F472" i="4"/>
  <c r="E472" i="4"/>
  <c r="B472" i="4"/>
  <c r="G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E473" i="4"/>
  <c r="F473" i="4"/>
  <c r="C473" i="4"/>
  <c r="G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E474" i="4"/>
  <c r="F474" i="4"/>
  <c r="B474" i="4"/>
  <c r="D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G475" i="4"/>
  <c r="B475" i="4"/>
  <c r="F475" i="4"/>
  <c r="E475" i="4"/>
  <c r="C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C476" i="4"/>
  <c r="D476" i="4"/>
  <c r="E476" i="4"/>
  <c r="B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F477" i="4"/>
  <c r="G477" i="4"/>
  <c r="B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B478" i="4"/>
  <c r="G478" i="4"/>
  <c r="D478" i="4"/>
  <c r="C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C479" i="4"/>
  <c r="G479" i="4"/>
  <c r="E479" i="4"/>
  <c r="B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C480" i="4"/>
  <c r="D480" i="4"/>
  <c r="F480" i="4"/>
  <c r="E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G481" i="4"/>
  <c r="F481" i="4"/>
  <c r="D481" i="4"/>
  <c r="E481" i="4"/>
  <c r="B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C482" i="4"/>
  <c r="F482" i="4"/>
  <c r="B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F483" i="4"/>
  <c r="B483" i="4"/>
  <c r="C483" i="4"/>
  <c r="D483" i="4"/>
  <c r="G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G484" i="4"/>
  <c r="F484" i="4"/>
  <c r="B484" i="4"/>
  <c r="E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E485" i="4"/>
  <c r="C485" i="4"/>
  <c r="B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D486" i="4"/>
  <c r="E486" i="4"/>
  <c r="G486" i="4"/>
  <c r="F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B487" i="4"/>
  <c r="E487" i="4"/>
  <c r="C487" i="4"/>
  <c r="G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G488" i="4"/>
  <c r="B488" i="4"/>
  <c r="D488" i="4"/>
  <c r="C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D489" i="4"/>
  <c r="E489" i="4"/>
  <c r="G489" i="4"/>
  <c r="C489" i="4"/>
  <c r="F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G490" i="4"/>
  <c r="F490" i="4"/>
  <c r="D490" i="4"/>
  <c r="B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F491" i="4"/>
  <c r="G491" i="4"/>
  <c r="C491" i="4"/>
  <c r="E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E492" i="4"/>
  <c r="B492" i="4"/>
  <c r="C492" i="4"/>
  <c r="G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D493" i="4"/>
  <c r="C493" i="4"/>
  <c r="B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G494" i="4"/>
  <c r="E494" i="4"/>
  <c r="B494" i="4"/>
  <c r="F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B495" i="4"/>
  <c r="C495" i="4"/>
  <c r="E495" i="4"/>
  <c r="D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C496" i="4"/>
  <c r="F496" i="4"/>
  <c r="G496" i="4"/>
  <c r="B496" i="4"/>
  <c r="D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F497" i="4"/>
  <c r="E497" i="4"/>
  <c r="B497" i="4"/>
  <c r="D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B498" i="4"/>
  <c r="E498" i="4"/>
  <c r="C498" i="4"/>
  <c r="D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G499" i="4"/>
  <c r="E499" i="4"/>
  <c r="C499" i="4"/>
  <c r="D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D500" i="4"/>
  <c r="E500" i="4"/>
  <c r="C500" i="4"/>
  <c r="B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D501" i="4"/>
  <c r="E501" i="4"/>
  <c r="C501" i="4"/>
  <c r="B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G502" i="4"/>
  <c r="E502" i="4"/>
  <c r="B502" i="4"/>
  <c r="D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C503" i="4"/>
  <c r="G503" i="4"/>
  <c r="D503" i="4"/>
  <c r="B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G504" i="4"/>
  <c r="B504" i="4"/>
  <c r="C504" i="4"/>
  <c r="D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B505" i="4"/>
  <c r="G505" i="4"/>
  <c r="D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C506" i="4"/>
  <c r="D506" i="4"/>
  <c r="F506" i="4"/>
  <c r="E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G507" i="4"/>
  <c r="B507" i="4"/>
  <c r="F507" i="4"/>
  <c r="E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B508" i="4"/>
  <c r="F508" i="4"/>
  <c r="G508" i="4"/>
  <c r="E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C509" i="4"/>
  <c r="B509" i="4"/>
  <c r="F509" i="4"/>
  <c r="D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C510" i="4"/>
  <c r="F510" i="4"/>
  <c r="D510" i="4"/>
  <c r="G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C511" i="4"/>
  <c r="E511" i="4"/>
  <c r="G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D512" i="4"/>
  <c r="F512" i="4"/>
  <c r="G512" i="4"/>
  <c r="C512" i="4"/>
  <c r="E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G513" i="4"/>
  <c r="C513" i="4"/>
  <c r="E513" i="4"/>
  <c r="B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C514" i="4"/>
  <c r="B514" i="4"/>
  <c r="F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C515" i="4"/>
  <c r="B515" i="4"/>
  <c r="E515" i="4"/>
  <c r="D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F516" i="4"/>
  <c r="G516" i="4"/>
  <c r="E516" i="4"/>
  <c r="B516" i="4"/>
  <c r="D516" i="4"/>
  <c r="C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G517" i="4"/>
  <c r="E517" i="4"/>
  <c r="D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F518" i="4"/>
  <c r="G518" i="4"/>
  <c r="B518" i="4"/>
  <c r="C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B519" i="4"/>
  <c r="D519" i="4"/>
  <c r="F519" i="4"/>
  <c r="C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E520" i="4"/>
  <c r="C520" i="4"/>
  <c r="F520" i="4"/>
  <c r="B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B521" i="4"/>
  <c r="E521" i="4"/>
  <c r="C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G522" i="4"/>
  <c r="C522" i="4"/>
  <c r="D522" i="4"/>
  <c r="B522" i="4"/>
  <c r="E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C523" i="4"/>
  <c r="G523" i="4"/>
  <c r="B523" i="4"/>
  <c r="D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D524" i="4"/>
  <c r="F524" i="4"/>
  <c r="C524" i="4"/>
  <c r="B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G525" i="4"/>
  <c r="E525" i="4"/>
  <c r="D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C526" i="4"/>
  <c r="F526" i="4"/>
  <c r="G526" i="4"/>
  <c r="B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B527" i="4"/>
  <c r="E527" i="4"/>
  <c r="F527" i="4"/>
  <c r="G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C528" i="4"/>
  <c r="D528" i="4"/>
  <c r="B528" i="4"/>
  <c r="E528" i="4"/>
  <c r="F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F529" i="4"/>
  <c r="B529" i="4"/>
  <c r="G529" i="4"/>
  <c r="E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B530" i="4"/>
  <c r="E530" i="4"/>
  <c r="G530" i="4"/>
  <c r="C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E531" i="4"/>
  <c r="F531" i="4"/>
  <c r="D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E532" i="4"/>
  <c r="D532" i="4"/>
  <c r="F532" i="4"/>
  <c r="C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E533" i="4"/>
  <c r="F533" i="4"/>
  <c r="C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C534" i="4"/>
  <c r="G534" i="4"/>
  <c r="F534" i="4"/>
  <c r="D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F535" i="4"/>
  <c r="G535" i="4"/>
  <c r="D535" i="4"/>
  <c r="C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F536" i="4"/>
  <c r="B536" i="4"/>
  <c r="E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E537" i="4"/>
  <c r="D537" i="4"/>
  <c r="F537" i="4"/>
  <c r="C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E538" i="4"/>
  <c r="D538" i="4"/>
  <c r="C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D539" i="4"/>
  <c r="F539" i="4"/>
  <c r="C539" i="4"/>
  <c r="E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F540" i="4"/>
  <c r="D540" i="4"/>
  <c r="G540" i="4"/>
  <c r="B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D541" i="4"/>
  <c r="G541" i="4"/>
  <c r="C541" i="4"/>
  <c r="B541" i="4"/>
  <c r="F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E542" i="4"/>
  <c r="C542" i="4"/>
  <c r="G542" i="4"/>
  <c r="B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G543" i="4"/>
  <c r="D543" i="4"/>
  <c r="B543" i="4"/>
  <c r="F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E544" i="4"/>
  <c r="F544" i="4"/>
  <c r="G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B545" i="4"/>
  <c r="D545" i="4"/>
  <c r="C545" i="4"/>
  <c r="F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F546" i="4"/>
  <c r="G546" i="4"/>
  <c r="C546" i="4"/>
  <c r="E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G547" i="4"/>
  <c r="C547" i="4"/>
  <c r="F547" i="4"/>
  <c r="E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F548" i="4"/>
  <c r="D548" i="4"/>
  <c r="E548" i="4"/>
  <c r="B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D549" i="4"/>
  <c r="F549" i="4"/>
  <c r="E549" i="4"/>
  <c r="B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C550" i="4"/>
  <c r="F550" i="4"/>
  <c r="G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D551" i="4"/>
  <c r="C551" i="4"/>
  <c r="E551" i="4"/>
  <c r="B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F552" i="4"/>
  <c r="E552" i="4"/>
  <c r="C552" i="4"/>
  <c r="D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F553" i="4"/>
  <c r="B553" i="4"/>
  <c r="D553" i="4"/>
  <c r="G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G554" i="4"/>
  <c r="D554" i="4"/>
  <c r="B554" i="4"/>
  <c r="E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C555" i="4"/>
  <c r="G555" i="4"/>
  <c r="E555" i="4"/>
  <c r="B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E556" i="4"/>
  <c r="C556" i="4"/>
  <c r="D556" i="4"/>
  <c r="F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C557" i="4"/>
  <c r="E557" i="4"/>
  <c r="G557" i="4"/>
  <c r="B557" i="4"/>
  <c r="D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E558" i="4"/>
  <c r="G558" i="4"/>
  <c r="C558" i="4"/>
  <c r="F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G559" i="4"/>
  <c r="C559" i="4"/>
  <c r="D559" i="4"/>
  <c r="F559" i="4"/>
  <c r="E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C560" i="4"/>
  <c r="G560" i="4"/>
  <c r="F560" i="4"/>
  <c r="D560" i="4"/>
  <c r="B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G561" i="4"/>
  <c r="F561" i="4"/>
  <c r="C561" i="4"/>
  <c r="B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F562" i="4"/>
  <c r="B562" i="4"/>
  <c r="D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D563" i="4"/>
  <c r="E563" i="4"/>
  <c r="B563" i="4"/>
  <c r="C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G564" i="4"/>
  <c r="E564" i="4"/>
  <c r="B564" i="4"/>
  <c r="F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D565" i="4"/>
  <c r="C565" i="4"/>
  <c r="E565" i="4"/>
  <c r="G565" i="4"/>
  <c r="B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C566" i="4"/>
  <c r="G566" i="4"/>
  <c r="D566" i="4"/>
  <c r="F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G567" i="4"/>
  <c r="E567" i="4"/>
  <c r="B567" i="4"/>
  <c r="C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F568" i="4"/>
  <c r="D568" i="4"/>
  <c r="G568" i="4"/>
  <c r="B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E569" i="4"/>
  <c r="F569" i="4"/>
  <c r="G569" i="4"/>
  <c r="B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B570" i="4"/>
  <c r="G570" i="4"/>
  <c r="E570" i="4"/>
  <c r="C570" i="4"/>
  <c r="F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F571" i="4"/>
  <c r="E571" i="4"/>
  <c r="G571" i="4"/>
  <c r="C571" i="4"/>
  <c r="D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G572" i="4"/>
  <c r="D572" i="4"/>
  <c r="C572" i="4"/>
  <c r="B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F573" i="4"/>
  <c r="B573" i="4"/>
  <c r="G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D574" i="4"/>
  <c r="B574" i="4"/>
  <c r="G574" i="4"/>
  <c r="E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D575" i="4"/>
  <c r="F575" i="4"/>
  <c r="E575" i="4"/>
  <c r="C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D576" i="4"/>
  <c r="B576" i="4"/>
  <c r="C576" i="4"/>
  <c r="F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G577" i="4"/>
  <c r="F577" i="4"/>
  <c r="D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E578" i="4"/>
  <c r="B578" i="4"/>
  <c r="G578" i="4"/>
  <c r="C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B579" i="4"/>
  <c r="F579" i="4"/>
  <c r="G579" i="4"/>
  <c r="E579" i="4"/>
  <c r="C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G580" i="4"/>
  <c r="D580" i="4"/>
  <c r="B580" i="4"/>
  <c r="C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D581" i="4"/>
  <c r="F581" i="4"/>
  <c r="E581" i="4"/>
  <c r="G581" i="4"/>
  <c r="B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C582" i="4"/>
  <c r="E582" i="4"/>
  <c r="D582" i="4"/>
  <c r="B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G583" i="4"/>
  <c r="B583" i="4"/>
  <c r="F583" i="4"/>
  <c r="D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F584" i="4"/>
  <c r="G584" i="4"/>
  <c r="E584" i="4"/>
  <c r="B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C585" i="4"/>
  <c r="G585" i="4"/>
  <c r="B585" i="4"/>
  <c r="D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C586" i="4"/>
  <c r="G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B587" i="4"/>
  <c r="G587" i="4"/>
  <c r="D587" i="4"/>
  <c r="F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E588" i="4"/>
  <c r="D588" i="4"/>
  <c r="B588" i="4"/>
  <c r="G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F589" i="4"/>
  <c r="E589" i="4"/>
  <c r="D589" i="4"/>
  <c r="B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C590" i="4"/>
  <c r="F590" i="4"/>
  <c r="E590" i="4"/>
  <c r="B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E591" i="4"/>
  <c r="F591" i="4"/>
  <c r="B591" i="4"/>
  <c r="D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E592" i="4"/>
  <c r="F592" i="4"/>
  <c r="C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D593" i="4"/>
  <c r="F593" i="4"/>
  <c r="B593" i="4"/>
  <c r="E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D594" i="4"/>
  <c r="E594" i="4"/>
  <c r="F594" i="4"/>
  <c r="C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F595" i="4"/>
  <c r="E595" i="4"/>
  <c r="B595" i="4"/>
  <c r="C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E596" i="4"/>
  <c r="D596" i="4"/>
  <c r="B596" i="4"/>
  <c r="C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E597" i="4"/>
  <c r="G597" i="4"/>
  <c r="C597" i="4"/>
  <c r="B597" i="4"/>
  <c r="F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D598" i="4"/>
  <c r="C598" i="4"/>
  <c r="B598" i="4"/>
  <c r="E598" i="4"/>
  <c r="G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G599" i="4"/>
  <c r="D599" i="4"/>
  <c r="C599" i="4"/>
  <c r="F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E600" i="4"/>
  <c r="F600" i="4"/>
  <c r="B600" i="4"/>
  <c r="G600" i="4"/>
  <c r="D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D601" i="4"/>
  <c r="F601" i="4"/>
  <c r="G601" i="4"/>
  <c r="B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G602" i="4"/>
  <c r="F602" i="4"/>
  <c r="D602" i="4"/>
  <c r="E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D603" i="4"/>
  <c r="C603" i="4"/>
  <c r="B603" i="4"/>
  <c r="F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F604" i="4"/>
  <c r="B604" i="4"/>
  <c r="D604" i="4"/>
  <c r="C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B605" i="4"/>
  <c r="F605" i="4"/>
  <c r="C605" i="4"/>
  <c r="G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B606" i="4"/>
  <c r="G606" i="4"/>
  <c r="F606" i="4"/>
  <c r="E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D607" i="4"/>
  <c r="B607" i="4"/>
  <c r="F607" i="4"/>
  <c r="E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E608" i="4"/>
  <c r="C608" i="4"/>
  <c r="D608" i="4"/>
  <c r="G608" i="4"/>
  <c r="F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B609" i="4"/>
  <c r="C609" i="4"/>
  <c r="E609" i="4"/>
  <c r="F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B610" i="4"/>
  <c r="E610" i="4"/>
  <c r="F610" i="4"/>
  <c r="D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D611" i="4"/>
  <c r="C611" i="4"/>
  <c r="E611" i="4"/>
  <c r="G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F612" i="4"/>
  <c r="D612" i="4"/>
  <c r="C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F613" i="4"/>
  <c r="D613" i="4"/>
  <c r="B613" i="4"/>
  <c r="G613" i="4"/>
  <c r="E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F614" i="4"/>
  <c r="C614" i="4"/>
  <c r="D614" i="4"/>
  <c r="B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D615" i="4"/>
  <c r="B615" i="4"/>
  <c r="F615" i="4"/>
  <c r="C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B616" i="4"/>
  <c r="E616" i="4"/>
  <c r="D616" i="4"/>
  <c r="F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E617" i="4"/>
  <c r="F617" i="4"/>
  <c r="C617" i="4"/>
  <c r="D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D618" i="4"/>
  <c r="C618" i="4"/>
  <c r="E618" i="4"/>
  <c r="G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C619" i="4"/>
  <c r="G619" i="4"/>
  <c r="B619" i="4"/>
  <c r="F619" i="4"/>
  <c r="D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G620" i="4"/>
  <c r="C620" i="4"/>
  <c r="D620" i="4"/>
  <c r="B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G621" i="4"/>
  <c r="E621" i="4"/>
  <c r="C621" i="4"/>
  <c r="F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C622" i="4"/>
  <c r="E622" i="4"/>
  <c r="G622" i="4"/>
  <c r="F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B623" i="4"/>
  <c r="C623" i="4"/>
  <c r="G623" i="4"/>
  <c r="E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D624" i="4"/>
  <c r="B624" i="4"/>
  <c r="F624" i="4"/>
  <c r="E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D625" i="4"/>
  <c r="B625" i="4"/>
  <c r="G625" i="4"/>
  <c r="F625" i="4"/>
  <c r="E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G626" i="4"/>
  <c r="C626" i="4"/>
  <c r="B626" i="4"/>
  <c r="D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B627" i="4"/>
  <c r="C627" i="4"/>
  <c r="D627" i="4"/>
  <c r="G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F628" i="4"/>
  <c r="B628" i="4"/>
  <c r="E628" i="4"/>
  <c r="C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B629" i="4"/>
  <c r="C629" i="4"/>
  <c r="F629" i="4"/>
  <c r="G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B630" i="4"/>
  <c r="C630" i="4"/>
  <c r="D630" i="4"/>
  <c r="G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E631" i="4"/>
  <c r="G631" i="4"/>
  <c r="F631" i="4"/>
  <c r="B631" i="4"/>
  <c r="D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E632" i="4"/>
  <c r="D632" i="4"/>
  <c r="F632" i="4"/>
  <c r="B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B633" i="4"/>
  <c r="D633" i="4"/>
  <c r="G633" i="4"/>
  <c r="C633" i="4"/>
  <c r="E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C634" i="4"/>
  <c r="G634" i="4"/>
  <c r="E634" i="4"/>
  <c r="B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B635" i="4"/>
  <c r="E635" i="4"/>
  <c r="G635" i="4"/>
  <c r="F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E636" i="4"/>
  <c r="B636" i="4"/>
  <c r="G636" i="4"/>
  <c r="C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E637" i="4"/>
  <c r="C637" i="4"/>
  <c r="B637" i="4"/>
  <c r="D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B638" i="4"/>
  <c r="E638" i="4"/>
  <c r="G638" i="4"/>
  <c r="D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F639" i="4"/>
  <c r="E639" i="4"/>
  <c r="C639" i="4"/>
  <c r="G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C640" i="4"/>
  <c r="E640" i="4"/>
  <c r="B640" i="4"/>
  <c r="G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F641" i="4"/>
  <c r="E641" i="4"/>
  <c r="B641" i="4"/>
  <c r="C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F642" i="4"/>
  <c r="E642" i="4"/>
  <c r="B642" i="4"/>
  <c r="G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C643" i="4"/>
  <c r="D643" i="4"/>
  <c r="E643" i="4"/>
  <c r="B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B644" i="4"/>
  <c r="E644" i="4"/>
  <c r="C644" i="4"/>
  <c r="G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F645" i="4"/>
  <c r="D645" i="4"/>
  <c r="B645" i="4"/>
  <c r="E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B646" i="4"/>
  <c r="F646" i="4"/>
  <c r="D646" i="4"/>
  <c r="E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B647" i="4"/>
  <c r="D647" i="4"/>
  <c r="E647" i="4"/>
  <c r="C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C648" i="4"/>
  <c r="B648" i="4"/>
  <c r="E648" i="4"/>
  <c r="D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C649" i="4"/>
  <c r="D649" i="4"/>
  <c r="F649" i="4"/>
  <c r="E649" i="4"/>
  <c r="G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C650" i="4"/>
  <c r="D650" i="4"/>
  <c r="E650" i="4"/>
  <c r="B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B651" i="4"/>
  <c r="C651" i="4"/>
  <c r="E651" i="4"/>
  <c r="F651" i="4"/>
  <c r="G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F652" i="4"/>
  <c r="G652" i="4"/>
  <c r="D652" i="4"/>
  <c r="C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G653" i="4"/>
  <c r="C653" i="4"/>
  <c r="E653" i="4"/>
  <c r="D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D654" i="4"/>
  <c r="F654" i="4"/>
  <c r="G654" i="4"/>
  <c r="C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E655" i="4"/>
  <c r="D655" i="4"/>
  <c r="G655" i="4"/>
  <c r="C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F656" i="4"/>
  <c r="E656" i="4"/>
  <c r="C656" i="4"/>
  <c r="B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F657" i="4"/>
  <c r="E657" i="4"/>
  <c r="G657" i="4"/>
  <c r="C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F658" i="4"/>
  <c r="D658" i="4"/>
  <c r="E658" i="4"/>
  <c r="B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F659" i="4"/>
  <c r="G659" i="4"/>
  <c r="B659" i="4"/>
  <c r="C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F660" i="4"/>
  <c r="C660" i="4"/>
  <c r="D660" i="4"/>
  <c r="E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D661" i="4"/>
  <c r="C661" i="4"/>
  <c r="E661" i="4"/>
  <c r="B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G662" i="4"/>
  <c r="C662" i="4"/>
  <c r="E662" i="4"/>
  <c r="D662" i="4"/>
  <c r="B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E663" i="4"/>
  <c r="D663" i="4"/>
  <c r="F663" i="4"/>
  <c r="C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D664" i="4"/>
  <c r="C664" i="4"/>
  <c r="B664" i="4"/>
  <c r="F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B665" i="4"/>
  <c r="C665" i="4"/>
  <c r="D665" i="4"/>
  <c r="G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F666" i="4"/>
  <c r="B666" i="4"/>
  <c r="G666" i="4"/>
  <c r="D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C667" i="4"/>
  <c r="E667" i="4"/>
  <c r="D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B668" i="4"/>
  <c r="C668" i="4"/>
  <c r="G668" i="4"/>
  <c r="F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C669" i="4"/>
  <c r="E669" i="4"/>
  <c r="D669" i="4"/>
  <c r="F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D670" i="4"/>
  <c r="E670" i="4"/>
  <c r="F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B671" i="4"/>
  <c r="C671" i="4"/>
  <c r="F671" i="4"/>
  <c r="D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E672" i="4"/>
  <c r="B672" i="4"/>
  <c r="G672" i="4"/>
  <c r="F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D673" i="4"/>
  <c r="C673" i="4"/>
  <c r="F673" i="4"/>
  <c r="B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E674" i="4"/>
  <c r="B674" i="4"/>
  <c r="F674" i="4"/>
  <c r="C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F675" i="4"/>
  <c r="C675" i="4"/>
  <c r="G675" i="4"/>
  <c r="E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C676" i="4"/>
  <c r="D676" i="4"/>
  <c r="G676" i="4"/>
  <c r="F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B677" i="4"/>
  <c r="C677" i="4"/>
  <c r="F677" i="4"/>
  <c r="G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E678" i="4"/>
  <c r="D678" i="4"/>
  <c r="C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C679" i="4"/>
  <c r="G679" i="4"/>
  <c r="E679" i="4"/>
  <c r="D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E680" i="4"/>
  <c r="D680" i="4"/>
  <c r="B680" i="4"/>
  <c r="G680" i="4"/>
  <c r="F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C681" i="4"/>
  <c r="G681" i="4"/>
  <c r="D681" i="4"/>
  <c r="E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G682" i="4"/>
  <c r="B682" i="4"/>
  <c r="F682" i="4"/>
  <c r="D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E683" i="4"/>
  <c r="C683" i="4"/>
  <c r="B683" i="4"/>
  <c r="G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G684" i="4"/>
  <c r="E684" i="4"/>
  <c r="D684" i="4"/>
  <c r="B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F685" i="4"/>
  <c r="G685" i="4"/>
  <c r="D685" i="4"/>
  <c r="C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F686" i="4"/>
  <c r="B686" i="4"/>
  <c r="D686" i="4"/>
  <c r="E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D687" i="4"/>
  <c r="G687" i="4"/>
  <c r="B687" i="4"/>
  <c r="E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G688" i="4"/>
  <c r="D688" i="4"/>
  <c r="B688" i="4"/>
  <c r="C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E689" i="4"/>
  <c r="G689" i="4"/>
  <c r="C689" i="4"/>
  <c r="B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G690" i="4"/>
  <c r="E690" i="4"/>
  <c r="B690" i="4"/>
  <c r="D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D691" i="4"/>
  <c r="F691" i="4"/>
  <c r="G691" i="4"/>
  <c r="C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E692" i="4"/>
  <c r="F692" i="4"/>
  <c r="C692" i="4"/>
  <c r="G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C693" i="4"/>
  <c r="B693" i="4"/>
  <c r="F693" i="4"/>
  <c r="G693" i="4"/>
  <c r="E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D694" i="4"/>
  <c r="E694" i="4"/>
  <c r="B694" i="4"/>
  <c r="G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D695" i="4"/>
  <c r="E695" i="4"/>
  <c r="B695" i="4"/>
  <c r="C695" i="4"/>
  <c r="F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D696" i="4"/>
  <c r="C696" i="4"/>
  <c r="B696" i="4"/>
  <c r="G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E697" i="4"/>
  <c r="G697" i="4"/>
  <c r="F697" i="4"/>
  <c r="C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C698" i="4"/>
  <c r="F698" i="4"/>
  <c r="B698" i="4"/>
  <c r="G698" i="4"/>
  <c r="E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B699" i="4"/>
  <c r="G699" i="4"/>
  <c r="E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F700" i="4"/>
  <c r="B700" i="4"/>
  <c r="E700" i="4"/>
  <c r="D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C701" i="4"/>
  <c r="D701" i="4"/>
  <c r="G701" i="4"/>
  <c r="E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G702" i="4"/>
  <c r="E702" i="4"/>
  <c r="D702" i="4"/>
  <c r="F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E703" i="4"/>
  <c r="B703" i="4"/>
  <c r="G703" i="4"/>
  <c r="D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G704" i="4"/>
  <c r="B704" i="4"/>
  <c r="E704" i="4"/>
  <c r="F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E705" i="4"/>
  <c r="G705" i="4"/>
  <c r="F705" i="4"/>
  <c r="D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E706" i="4"/>
  <c r="B706" i="4"/>
  <c r="D706" i="4"/>
  <c r="F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E707" i="4"/>
  <c r="F707" i="4"/>
  <c r="B707" i="4"/>
  <c r="C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D708" i="4"/>
  <c r="B708" i="4"/>
  <c r="C708" i="4"/>
  <c r="F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B709" i="4"/>
  <c r="C709" i="4"/>
  <c r="D709" i="4"/>
  <c r="E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B710" i="4"/>
  <c r="C710" i="4"/>
  <c r="G710" i="4"/>
  <c r="D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F711" i="4"/>
  <c r="C711" i="4"/>
  <c r="B711" i="4"/>
  <c r="D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G712" i="4"/>
  <c r="D712" i="4"/>
  <c r="E712" i="4"/>
  <c r="B712" i="4"/>
  <c r="F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G713" i="4"/>
  <c r="E713" i="4"/>
  <c r="D713" i="4"/>
  <c r="F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G714" i="4"/>
  <c r="C714" i="4"/>
  <c r="F714" i="4"/>
  <c r="B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D715" i="4"/>
  <c r="E715" i="4"/>
  <c r="B715" i="4"/>
  <c r="C715" i="4"/>
  <c r="G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F716" i="4"/>
  <c r="C716" i="4"/>
  <c r="G716" i="4"/>
  <c r="D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D717" i="4"/>
  <c r="F717" i="4"/>
  <c r="E717" i="4"/>
  <c r="C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F718" i="4"/>
  <c r="D718" i="4"/>
  <c r="C718" i="4"/>
  <c r="B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F719" i="4"/>
  <c r="G719" i="4"/>
  <c r="C719" i="4"/>
  <c r="B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C720" i="4"/>
  <c r="D720" i="4"/>
  <c r="G720" i="4"/>
  <c r="E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F721" i="4"/>
  <c r="E721" i="4"/>
  <c r="G721" i="4"/>
  <c r="B721" i="4"/>
  <c r="D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B722" i="4"/>
  <c r="D722" i="4"/>
  <c r="F722" i="4"/>
  <c r="E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E723" i="4"/>
  <c r="D723" i="4"/>
  <c r="G723" i="4"/>
  <c r="F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G724" i="4"/>
  <c r="F724" i="4"/>
  <c r="D724" i="4"/>
  <c r="C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E725" i="4"/>
  <c r="D725" i="4"/>
  <c r="G725" i="4"/>
  <c r="B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E726" i="4"/>
  <c r="D726" i="4"/>
  <c r="B726" i="4"/>
  <c r="C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G727" i="4"/>
  <c r="E727" i="4"/>
  <c r="B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D728" i="4"/>
  <c r="C728" i="4"/>
  <c r="G728" i="4"/>
  <c r="F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C729" i="4"/>
  <c r="D729" i="4"/>
  <c r="F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C730" i="4"/>
  <c r="E730" i="4"/>
  <c r="B730" i="4"/>
  <c r="D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C731" i="4"/>
  <c r="G731" i="4"/>
  <c r="E731" i="4"/>
  <c r="F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F732" i="4"/>
  <c r="E732" i="4"/>
  <c r="B732" i="4"/>
  <c r="G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C733" i="4"/>
  <c r="E733" i="4"/>
  <c r="F733" i="4"/>
  <c r="G733" i="4"/>
  <c r="B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C734" i="4"/>
  <c r="D734" i="4"/>
  <c r="G734" i="4"/>
  <c r="B734" i="4"/>
  <c r="E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F735" i="4"/>
  <c r="D735" i="4"/>
  <c r="C735" i="4"/>
  <c r="E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G736" i="4"/>
  <c r="C736" i="4"/>
  <c r="B736" i="4"/>
  <c r="F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D737" i="4"/>
  <c r="G737" i="4"/>
  <c r="E737" i="4"/>
  <c r="F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F738" i="4"/>
  <c r="D738" i="4"/>
  <c r="C738" i="4"/>
  <c r="G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E739" i="4"/>
  <c r="D739" i="4"/>
  <c r="F739" i="4"/>
  <c r="G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C740" i="4"/>
  <c r="G740" i="4"/>
  <c r="F740" i="4"/>
  <c r="E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F741" i="4"/>
  <c r="C741" i="4"/>
  <c r="D741" i="4"/>
  <c r="B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D742" i="4"/>
  <c r="C742" i="4"/>
  <c r="G742" i="4"/>
  <c r="B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E743" i="4"/>
  <c r="D743" i="4"/>
  <c r="B743" i="4"/>
  <c r="F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D744" i="4"/>
  <c r="G744" i="4"/>
  <c r="F744" i="4"/>
  <c r="C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B745" i="4"/>
  <c r="D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D746" i="4"/>
  <c r="F746" i="4"/>
  <c r="G746" i="4"/>
  <c r="B746" i="4"/>
  <c r="E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D747" i="4"/>
  <c r="E747" i="4"/>
  <c r="C747" i="4"/>
  <c r="G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G748" i="4"/>
  <c r="B748" i="4"/>
  <c r="E748" i="4"/>
  <c r="C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D749" i="4"/>
  <c r="G749" i="4"/>
  <c r="F749" i="4"/>
  <c r="B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C750" i="4"/>
  <c r="D750" i="4"/>
  <c r="E750" i="4"/>
  <c r="B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G751" i="4"/>
  <c r="E751" i="4"/>
  <c r="D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B752" i="4"/>
  <c r="E752" i="4"/>
  <c r="F752" i="4"/>
  <c r="G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G753" i="4"/>
  <c r="E753" i="4"/>
  <c r="F753" i="4"/>
  <c r="B753" i="4"/>
  <c r="D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F754" i="4"/>
  <c r="D754" i="4"/>
  <c r="G754" i="4"/>
  <c r="C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D755" i="4"/>
  <c r="E755" i="4"/>
  <c r="C755" i="4"/>
  <c r="F755" i="4"/>
  <c r="G755" i="4"/>
  <c r="B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C756" i="4"/>
  <c r="F756" i="4"/>
  <c r="E756" i="4"/>
  <c r="B756" i="4"/>
  <c r="G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C757" i="4"/>
  <c r="B757" i="4"/>
  <c r="F757" i="4"/>
  <c r="E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D758" i="4"/>
  <c r="B758" i="4"/>
  <c r="F758" i="4"/>
  <c r="G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F759" i="4"/>
  <c r="B759" i="4"/>
  <c r="E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G760" i="4"/>
  <c r="E760" i="4"/>
  <c r="B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D761" i="4"/>
  <c r="G761" i="4"/>
  <c r="B761" i="4"/>
  <c r="E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F762" i="4"/>
  <c r="B762" i="4"/>
  <c r="D762" i="4"/>
  <c r="G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B763" i="4"/>
  <c r="F763" i="4"/>
  <c r="C763" i="4"/>
  <c r="D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B764" i="4"/>
  <c r="D764" i="4"/>
  <c r="F764" i="4"/>
  <c r="G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F765" i="4"/>
  <c r="D765" i="4"/>
  <c r="G765" i="4"/>
  <c r="E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E766" i="4"/>
  <c r="D766" i="4"/>
  <c r="G766" i="4"/>
  <c r="C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E767" i="4"/>
  <c r="F767" i="4"/>
  <c r="B767" i="4"/>
  <c r="C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F768" i="4"/>
  <c r="B768" i="4"/>
  <c r="G768" i="4"/>
  <c r="C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G769" i="4"/>
  <c r="F769" i="4"/>
  <c r="C769" i="4"/>
  <c r="E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G770" i="4"/>
  <c r="D770" i="4"/>
  <c r="F770" i="4"/>
  <c r="B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F771" i="4"/>
  <c r="E771" i="4"/>
  <c r="B771" i="4"/>
  <c r="D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G772" i="4"/>
  <c r="F772" i="4"/>
  <c r="B772" i="4"/>
  <c r="D772" i="4"/>
  <c r="C772" i="4"/>
  <c r="E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G773" i="4"/>
  <c r="E773" i="4"/>
  <c r="B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G774" i="4"/>
  <c r="B774" i="4"/>
  <c r="C774" i="4"/>
  <c r="E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D775" i="4"/>
  <c r="G775" i="4"/>
  <c r="C775" i="4"/>
  <c r="E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G776" i="4"/>
  <c r="E776" i="4"/>
  <c r="D776" i="4"/>
  <c r="B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D777" i="4"/>
  <c r="G777" i="4"/>
  <c r="C777" i="4"/>
  <c r="E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D778" i="4"/>
  <c r="B778" i="4"/>
  <c r="F778" i="4"/>
  <c r="E778" i="4"/>
  <c r="G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B779" i="4"/>
  <c r="D779" i="4"/>
  <c r="G779" i="4"/>
  <c r="E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D780" i="4"/>
  <c r="G780" i="4"/>
  <c r="E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G781" i="4"/>
  <c r="B781" i="4"/>
  <c r="E781" i="4"/>
  <c r="D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B782" i="4"/>
  <c r="G782" i="4"/>
  <c r="F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G783" i="4"/>
  <c r="B783" i="4"/>
  <c r="F783" i="4"/>
  <c r="E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C784" i="4"/>
  <c r="F784" i="4"/>
  <c r="E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E785" i="4"/>
  <c r="F785" i="4"/>
  <c r="D785" i="4"/>
  <c r="C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E786" i="4"/>
  <c r="D786" i="4"/>
  <c r="C786" i="4"/>
  <c r="F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G787" i="4"/>
  <c r="D787" i="4"/>
  <c r="B787" i="4"/>
  <c r="C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F788" i="4"/>
  <c r="C788" i="4"/>
  <c r="D788" i="4"/>
  <c r="B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B789" i="4"/>
  <c r="F789" i="4"/>
  <c r="E789" i="4"/>
  <c r="G789" i="4"/>
  <c r="C789" i="4"/>
  <c r="D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C790" i="4"/>
  <c r="D790" i="4"/>
  <c r="B790" i="4"/>
  <c r="E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F791" i="4"/>
  <c r="E791" i="4"/>
  <c r="G791" i="4"/>
  <c r="B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B792" i="4"/>
  <c r="C792" i="4"/>
  <c r="F792" i="4"/>
  <c r="E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F793" i="4"/>
  <c r="B793" i="4"/>
  <c r="E793" i="4"/>
  <c r="D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E794" i="4"/>
  <c r="F794" i="4"/>
  <c r="B794" i="4"/>
  <c r="D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E795" i="4"/>
  <c r="G795" i="4"/>
  <c r="F795" i="4"/>
  <c r="C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C796" i="4"/>
  <c r="B796" i="4"/>
  <c r="F796" i="4"/>
  <c r="G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F797" i="4"/>
  <c r="D797" i="4"/>
  <c r="B797" i="4"/>
  <c r="E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C798" i="4"/>
  <c r="D798" i="4"/>
  <c r="B798" i="4"/>
  <c r="E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C799" i="4"/>
  <c r="D799" i="4"/>
  <c r="F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E800" i="4"/>
  <c r="B800" i="4"/>
  <c r="C800" i="4"/>
  <c r="G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D801" i="4"/>
  <c r="C801" i="4"/>
  <c r="E801" i="4"/>
  <c r="F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E802" i="4"/>
  <c r="F802" i="4"/>
  <c r="D802" i="4"/>
  <c r="G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B803" i="4"/>
  <c r="F803" i="4"/>
  <c r="G803" i="4"/>
  <c r="E803" i="4"/>
  <c r="C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E804" i="4"/>
  <c r="C804" i="4"/>
  <c r="G804" i="4"/>
  <c r="B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D805" i="4"/>
  <c r="F805" i="4"/>
  <c r="G805" i="4"/>
  <c r="B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D806" i="4"/>
  <c r="F806" i="4"/>
  <c r="C806" i="4"/>
  <c r="E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F807" i="4"/>
  <c r="G807" i="4"/>
  <c r="E807" i="4"/>
  <c r="B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F808" i="4"/>
  <c r="E808" i="4"/>
  <c r="G808" i="4"/>
  <c r="B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C809" i="4"/>
  <c r="B809" i="4"/>
  <c r="E809" i="4"/>
  <c r="G809" i="4"/>
  <c r="D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B810" i="4"/>
  <c r="D810" i="4"/>
  <c r="C810" i="4"/>
  <c r="G810" i="4"/>
  <c r="F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G811" i="4"/>
  <c r="D811" i="4"/>
  <c r="B811" i="4"/>
  <c r="C811" i="4"/>
  <c r="F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B812" i="4"/>
  <c r="E812" i="4"/>
  <c r="F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D813" i="4"/>
  <c r="C813" i="4"/>
  <c r="G813" i="4"/>
  <c r="E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C814" i="4"/>
  <c r="F814" i="4"/>
  <c r="D814" i="4"/>
  <c r="B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D815" i="4"/>
  <c r="C815" i="4"/>
  <c r="B815" i="4"/>
  <c r="E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C816" i="4"/>
  <c r="F816" i="4"/>
  <c r="B816" i="4"/>
  <c r="G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G817" i="4"/>
  <c r="F817" i="4"/>
  <c r="D817" i="4"/>
  <c r="E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D818" i="4"/>
  <c r="C818" i="4"/>
  <c r="B818" i="4"/>
  <c r="G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C819" i="4"/>
  <c r="E819" i="4"/>
  <c r="F819" i="4"/>
  <c r="B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B820" i="4"/>
  <c r="F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D821" i="4"/>
  <c r="C821" i="4"/>
  <c r="B821" i="4"/>
  <c r="E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C822" i="4"/>
  <c r="E822" i="4"/>
  <c r="D822" i="4"/>
  <c r="G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D823" i="4"/>
  <c r="C823" i="4"/>
  <c r="B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E824" i="4"/>
  <c r="F824" i="4"/>
  <c r="G824" i="4"/>
  <c r="C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E825" i="4"/>
  <c r="B825" i="4"/>
  <c r="C825" i="4"/>
  <c r="D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F826" i="4"/>
  <c r="B826" i="4"/>
  <c r="D826" i="4"/>
  <c r="C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D827" i="4"/>
  <c r="C827" i="4"/>
  <c r="F827" i="4"/>
  <c r="B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C828" i="4"/>
  <c r="F828" i="4"/>
  <c r="G828" i="4"/>
  <c r="E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F829" i="4"/>
  <c r="B829" i="4"/>
  <c r="D829" i="4"/>
  <c r="C829" i="4"/>
  <c r="E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F830" i="4"/>
  <c r="D830" i="4"/>
  <c r="C830" i="4"/>
  <c r="E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F831" i="4"/>
  <c r="D831" i="4"/>
  <c r="B831" i="4"/>
  <c r="C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D832" i="4"/>
  <c r="G832" i="4"/>
  <c r="C832" i="4"/>
  <c r="F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B833" i="4"/>
  <c r="E833" i="4"/>
  <c r="C833" i="4"/>
  <c r="F833" i="4"/>
  <c r="D833" i="4"/>
  <c r="G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C834" i="4"/>
  <c r="F834" i="4"/>
  <c r="B834" i="4"/>
  <c r="E834" i="4"/>
  <c r="D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D835" i="4"/>
  <c r="E835" i="4"/>
  <c r="G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E836" i="4"/>
  <c r="G836" i="4"/>
  <c r="B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E837" i="4"/>
  <c r="C837" i="4"/>
  <c r="D837" i="4"/>
  <c r="F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F838" i="4"/>
  <c r="E838" i="4"/>
  <c r="B838" i="4"/>
  <c r="G838" i="4"/>
  <c r="D838" i="4"/>
  <c r="C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C839" i="4"/>
  <c r="F839" i="4"/>
  <c r="D839" i="4"/>
  <c r="B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F840" i="4"/>
  <c r="G840" i="4"/>
  <c r="D840" i="4"/>
  <c r="B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D841" i="4"/>
  <c r="F841" i="4"/>
  <c r="C841" i="4"/>
  <c r="E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F842" i="4"/>
  <c r="D842" i="4"/>
  <c r="G842" i="4"/>
  <c r="C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E843" i="4"/>
  <c r="D843" i="4"/>
  <c r="C843" i="4"/>
  <c r="B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F844" i="4"/>
  <c r="B844" i="4"/>
  <c r="D844" i="4"/>
  <c r="G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E845" i="4"/>
  <c r="G845" i="4"/>
  <c r="F845" i="4"/>
  <c r="D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C846" i="4"/>
  <c r="D846" i="4"/>
  <c r="B846" i="4"/>
  <c r="G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C847" i="4"/>
  <c r="F847" i="4"/>
  <c r="B847" i="4"/>
  <c r="E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F848" i="4"/>
  <c r="C848" i="4"/>
  <c r="G848" i="4"/>
  <c r="E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B849" i="4"/>
  <c r="C849" i="4"/>
  <c r="D849" i="4"/>
  <c r="F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F850" i="4"/>
  <c r="G850" i="4"/>
  <c r="B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G851" i="4"/>
  <c r="F851" i="4"/>
  <c r="C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F852" i="4"/>
  <c r="C852" i="4"/>
  <c r="B852" i="4"/>
  <c r="G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B853" i="4"/>
  <c r="C853" i="4"/>
  <c r="D853" i="4"/>
  <c r="F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G854" i="4"/>
  <c r="C854" i="4"/>
  <c r="E854" i="4"/>
  <c r="D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C855" i="4"/>
  <c r="D855" i="4"/>
  <c r="G855" i="4"/>
  <c r="B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B856" i="4"/>
  <c r="F856" i="4"/>
  <c r="D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C857" i="4"/>
  <c r="E857" i="4"/>
  <c r="F857" i="4"/>
  <c r="B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G858" i="4"/>
  <c r="C858" i="4"/>
  <c r="F858" i="4"/>
  <c r="B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E859" i="4"/>
  <c r="F859" i="4"/>
  <c r="G859" i="4"/>
  <c r="D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F860" i="4"/>
  <c r="G860" i="4"/>
  <c r="D860" i="4"/>
  <c r="E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B861" i="4"/>
  <c r="G861" i="4"/>
  <c r="F861" i="4"/>
  <c r="D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C862" i="4"/>
  <c r="F862" i="4"/>
  <c r="E862" i="4"/>
  <c r="G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E863" i="4"/>
  <c r="D863" i="4"/>
  <c r="B863" i="4"/>
  <c r="C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G864" i="4"/>
  <c r="D864" i="4"/>
  <c r="B864" i="4"/>
  <c r="F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C865" i="4"/>
  <c r="G865" i="4"/>
  <c r="E865" i="4"/>
  <c r="D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F866" i="4"/>
  <c r="G866" i="4"/>
  <c r="C866" i="4"/>
  <c r="B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F867" i="4"/>
  <c r="G867" i="4"/>
  <c r="D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G868" i="4"/>
  <c r="F868" i="4"/>
  <c r="B868" i="4"/>
  <c r="C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D869" i="4"/>
  <c r="F869" i="4"/>
  <c r="E869" i="4"/>
  <c r="B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F870" i="4"/>
  <c r="E870" i="4"/>
  <c r="C870" i="4"/>
  <c r="D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E871" i="4"/>
  <c r="F871" i="4"/>
  <c r="D871" i="4"/>
  <c r="C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G872" i="4"/>
  <c r="D872" i="4"/>
  <c r="F872" i="4"/>
  <c r="C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D873" i="4"/>
  <c r="F873" i="4"/>
  <c r="B873" i="4"/>
  <c r="G873" i="4"/>
  <c r="E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E874" i="4"/>
  <c r="C874" i="4"/>
  <c r="B874" i="4"/>
  <c r="F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D875" i="4"/>
  <c r="C875" i="4"/>
  <c r="F875" i="4"/>
  <c r="E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F876" i="4"/>
  <c r="D876" i="4"/>
  <c r="G876" i="4"/>
  <c r="C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C877" i="4"/>
  <c r="B877" i="4"/>
  <c r="D877" i="4"/>
  <c r="F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D878" i="4"/>
  <c r="E878" i="4"/>
  <c r="F878" i="4"/>
  <c r="B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F879" i="4"/>
  <c r="E879" i="4"/>
  <c r="B879" i="4"/>
  <c r="C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B880" i="4"/>
  <c r="G880" i="4"/>
  <c r="C880" i="4"/>
  <c r="D880" i="4"/>
  <c r="F880" i="4"/>
  <c r="E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E881" i="4"/>
  <c r="C881" i="4"/>
  <c r="F881" i="4"/>
  <c r="G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C882" i="4"/>
  <c r="E882" i="4"/>
  <c r="B882" i="4"/>
  <c r="D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G883" i="4"/>
  <c r="F883" i="4"/>
  <c r="B883" i="4"/>
  <c r="C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C884" i="4"/>
  <c r="D884" i="4"/>
  <c r="E884" i="4"/>
  <c r="G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D885" i="4"/>
  <c r="G885" i="4"/>
  <c r="B885" i="4"/>
  <c r="C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G886" i="4"/>
  <c r="D886" i="4"/>
  <c r="C886" i="4"/>
  <c r="E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B887" i="4"/>
  <c r="E887" i="4"/>
  <c r="C887" i="4"/>
  <c r="F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B888" i="4"/>
  <c r="G888" i="4"/>
  <c r="E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D889" i="4"/>
  <c r="C889" i="4"/>
  <c r="G889" i="4"/>
  <c r="B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C890" i="4"/>
  <c r="E890" i="4"/>
  <c r="B890" i="4"/>
  <c r="F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D891" i="4"/>
  <c r="C891" i="4"/>
  <c r="E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F892" i="4"/>
  <c r="B892" i="4"/>
  <c r="E892" i="4"/>
  <c r="G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C893" i="4"/>
  <c r="F893" i="4"/>
  <c r="B893" i="4"/>
  <c r="D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B894" i="4"/>
  <c r="E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G895" i="4"/>
  <c r="D895" i="4"/>
  <c r="C895" i="4"/>
  <c r="B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F896" i="4"/>
  <c r="G896" i="4"/>
  <c r="E896" i="4"/>
  <c r="C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F897" i="4"/>
  <c r="D897" i="4"/>
  <c r="G897" i="4"/>
  <c r="C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D898" i="4"/>
  <c r="F898" i="4"/>
  <c r="G898" i="4"/>
  <c r="B898" i="4"/>
  <c r="E898" i="4"/>
  <c r="C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G899" i="4"/>
  <c r="C899" i="4"/>
  <c r="E899" i="4"/>
  <c r="D899" i="4"/>
  <c r="F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G900" i="4"/>
  <c r="C900" i="4"/>
  <c r="E900" i="4"/>
  <c r="B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F901" i="4"/>
  <c r="D901" i="4"/>
  <c r="C901" i="4"/>
  <c r="B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F902" i="4"/>
  <c r="D902" i="4"/>
  <c r="B902" i="4"/>
  <c r="C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D903" i="4"/>
  <c r="C903" i="4"/>
  <c r="F903" i="4"/>
  <c r="E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D904" i="4"/>
  <c r="C904" i="4"/>
  <c r="B904" i="4"/>
  <c r="E904" i="4"/>
  <c r="G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C905" i="4"/>
  <c r="B905" i="4"/>
  <c r="D905" i="4"/>
  <c r="F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G906" i="4"/>
  <c r="F906" i="4"/>
  <c r="E906" i="4"/>
  <c r="B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D907" i="4"/>
  <c r="G907" i="4"/>
  <c r="E907" i="4"/>
  <c r="B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E908" i="4"/>
  <c r="F908" i="4"/>
  <c r="D908" i="4"/>
  <c r="B908" i="4"/>
  <c r="G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F909" i="4"/>
  <c r="C909" i="4"/>
  <c r="E909" i="4"/>
  <c r="D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C910" i="4"/>
  <c r="B910" i="4"/>
  <c r="F910" i="4"/>
  <c r="G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E911" i="4"/>
  <c r="C911" i="4"/>
  <c r="F911" i="4"/>
  <c r="D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E912" i="4"/>
  <c r="B912" i="4"/>
  <c r="D912" i="4"/>
  <c r="G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E913" i="4"/>
  <c r="D913" i="4"/>
  <c r="B913" i="4"/>
  <c r="G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B914" i="4"/>
  <c r="C914" i="4"/>
  <c r="D914" i="4"/>
  <c r="F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B915" i="4"/>
  <c r="D915" i="4"/>
  <c r="G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G916" i="4"/>
  <c r="D916" i="4"/>
  <c r="C916" i="4"/>
  <c r="E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G917" i="4"/>
  <c r="E917" i="4"/>
  <c r="B917" i="4"/>
  <c r="C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G918" i="4"/>
  <c r="C918" i="4"/>
  <c r="F918" i="4"/>
  <c r="E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D919" i="4"/>
  <c r="B919" i="4"/>
  <c r="E919" i="4"/>
  <c r="F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F920" i="4"/>
  <c r="D920" i="4"/>
  <c r="G920" i="4"/>
  <c r="E920" i="4"/>
  <c r="B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B921" i="4"/>
  <c r="F921" i="4"/>
  <c r="D921" i="4"/>
  <c r="G921" i="4"/>
  <c r="E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G922" i="4"/>
  <c r="D922" i="4"/>
  <c r="E922" i="4"/>
  <c r="F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D923" i="4"/>
  <c r="C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G924" i="4"/>
  <c r="C924" i="4"/>
  <c r="E924" i="4"/>
  <c r="B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B925" i="4"/>
  <c r="G925" i="4"/>
  <c r="D925" i="4"/>
  <c r="C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F926" i="4"/>
  <c r="C926" i="4"/>
  <c r="E926" i="4"/>
  <c r="D926" i="4"/>
  <c r="B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F927" i="4"/>
  <c r="E927" i="4"/>
  <c r="G927" i="4"/>
  <c r="B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D928" i="4"/>
  <c r="C928" i="4"/>
  <c r="F928" i="4"/>
  <c r="G928" i="4"/>
  <c r="B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D929" i="4"/>
  <c r="F929" i="4"/>
  <c r="C929" i="4"/>
  <c r="G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E930" i="4"/>
  <c r="G930" i="4"/>
  <c r="B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B931" i="4"/>
  <c r="F931" i="4"/>
  <c r="E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F932" i="4"/>
  <c r="B932" i="4"/>
  <c r="E932" i="4"/>
  <c r="C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G933" i="4"/>
  <c r="C933" i="4"/>
  <c r="D933" i="4"/>
  <c r="B933" i="4"/>
  <c r="F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G934" i="4"/>
  <c r="E934" i="4"/>
  <c r="C934" i="4"/>
  <c r="F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B935" i="4"/>
  <c r="C935" i="4"/>
  <c r="G935" i="4"/>
  <c r="E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B936" i="4"/>
  <c r="G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C937" i="4"/>
  <c r="B937" i="4"/>
  <c r="F937" i="4"/>
  <c r="D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B938" i="4"/>
  <c r="F938" i="4"/>
  <c r="E938" i="4"/>
  <c r="C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B939" i="4"/>
  <c r="D939" i="4"/>
  <c r="F939" i="4"/>
  <c r="G939" i="4"/>
  <c r="E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E940" i="4"/>
  <c r="C940" i="4"/>
  <c r="D940" i="4"/>
  <c r="F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F941" i="4"/>
  <c r="B941" i="4"/>
  <c r="G941" i="4"/>
  <c r="D941" i="4"/>
  <c r="C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C942" i="4"/>
  <c r="F942" i="4"/>
  <c r="D942" i="4"/>
  <c r="E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C943" i="4"/>
  <c r="B943" i="4"/>
  <c r="G943" i="4"/>
  <c r="E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G944" i="4"/>
  <c r="E944" i="4"/>
  <c r="D944" i="4"/>
  <c r="C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D945" i="4"/>
  <c r="B945" i="4"/>
  <c r="G945" i="4"/>
  <c r="F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F946" i="4"/>
  <c r="D946" i="4"/>
  <c r="E946" i="4"/>
  <c r="C946" i="4"/>
  <c r="G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F947" i="4"/>
  <c r="D947" i="4"/>
  <c r="E947" i="4"/>
  <c r="G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C948" i="4"/>
  <c r="G948" i="4"/>
  <c r="B948" i="4"/>
  <c r="E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G949" i="4"/>
  <c r="C949" i="4"/>
  <c r="B949" i="4"/>
  <c r="D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C950" i="4"/>
  <c r="B950" i="4"/>
  <c r="G950" i="4"/>
  <c r="E950" i="4"/>
  <c r="F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B951" i="4"/>
  <c r="F951" i="4"/>
  <c r="D951" i="4"/>
  <c r="G951" i="4"/>
  <c r="C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D952" i="4"/>
  <c r="F952" i="4"/>
  <c r="G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G953" i="4"/>
  <c r="D953" i="4"/>
  <c r="E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F954" i="4"/>
  <c r="E954" i="4"/>
  <c r="G954" i="4"/>
  <c r="C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C955" i="4"/>
  <c r="E955" i="4"/>
  <c r="F955" i="4"/>
  <c r="B955" i="4"/>
  <c r="D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C956" i="4"/>
  <c r="E956" i="4"/>
  <c r="G956" i="4"/>
  <c r="F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B957" i="4"/>
  <c r="F957" i="4"/>
  <c r="E957" i="4"/>
  <c r="D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F958" i="4"/>
  <c r="B958" i="4"/>
  <c r="C958" i="4"/>
  <c r="G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F959" i="4"/>
  <c r="C959" i="4"/>
  <c r="G959" i="4"/>
  <c r="E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F960" i="4"/>
  <c r="G960" i="4"/>
  <c r="D960" i="4"/>
  <c r="E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F961" i="4"/>
  <c r="D961" i="4"/>
  <c r="C961" i="4"/>
  <c r="B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E962" i="4"/>
  <c r="C962" i="4"/>
  <c r="F962" i="4"/>
  <c r="B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B963" i="4"/>
  <c r="G963" i="4"/>
  <c r="D963" i="4"/>
  <c r="C963" i="4"/>
  <c r="E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E964" i="4"/>
  <c r="C964" i="4"/>
  <c r="B964" i="4"/>
  <c r="D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E965" i="4"/>
  <c r="D965" i="4"/>
  <c r="B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C966" i="4"/>
  <c r="B966" i="4"/>
  <c r="D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G967" i="4"/>
  <c r="E967" i="4"/>
  <c r="D967" i="4"/>
  <c r="C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E968" i="4"/>
  <c r="D968" i="4"/>
  <c r="C968" i="4"/>
  <c r="G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E969" i="4"/>
  <c r="D969" i="4"/>
  <c r="G969" i="4"/>
  <c r="B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C970" i="4"/>
  <c r="E970" i="4"/>
  <c r="B970" i="4"/>
  <c r="F970" i="4"/>
  <c r="G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F971" i="4"/>
  <c r="C971" i="4"/>
  <c r="D971" i="4"/>
  <c r="E971" i="4"/>
  <c r="B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D972" i="4"/>
  <c r="G972" i="4"/>
  <c r="E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C973" i="4"/>
  <c r="E973" i="4"/>
  <c r="G973" i="4"/>
  <c r="D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C974" i="4"/>
  <c r="E974" i="4"/>
  <c r="G974" i="4"/>
  <c r="B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G975" i="4"/>
  <c r="F975" i="4"/>
  <c r="B975" i="4"/>
  <c r="C975" i="4"/>
  <c r="D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G976" i="4"/>
  <c r="F976" i="4"/>
  <c r="B976" i="4"/>
  <c r="E976" i="4"/>
  <c r="C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E977" i="4"/>
  <c r="F977" i="4"/>
  <c r="C977" i="4"/>
  <c r="B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C978" i="4"/>
  <c r="F978" i="4"/>
  <c r="B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C979" i="4"/>
  <c r="E979" i="4"/>
  <c r="D979" i="4"/>
  <c r="B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G980" i="4"/>
  <c r="F980" i="4"/>
  <c r="D980" i="4"/>
  <c r="B980" i="4"/>
  <c r="E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B981" i="4"/>
  <c r="D981" i="4"/>
  <c r="F981" i="4"/>
  <c r="G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E982" i="4"/>
  <c r="B982" i="4"/>
  <c r="F982" i="4"/>
  <c r="D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C983" i="4"/>
  <c r="G983" i="4"/>
  <c r="B983" i="4"/>
  <c r="F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D984" i="4"/>
  <c r="B984" i="4"/>
  <c r="G984" i="4"/>
  <c r="E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G985" i="4"/>
  <c r="C985" i="4"/>
  <c r="B985" i="4"/>
  <c r="F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B986" i="4"/>
  <c r="G986" i="4"/>
  <c r="C986" i="4"/>
  <c r="F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F987" i="4"/>
  <c r="E987" i="4"/>
  <c r="D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D988" i="4"/>
  <c r="B988" i="4"/>
  <c r="G988" i="4"/>
  <c r="C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B989" i="4"/>
  <c r="E989" i="4"/>
  <c r="G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E990" i="4"/>
  <c r="G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G991" i="4"/>
  <c r="F991" i="4"/>
  <c r="B991" i="4"/>
  <c r="C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C992" i="4"/>
  <c r="F992" i="4"/>
  <c r="G992" i="4"/>
  <c r="B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E993" i="4"/>
  <c r="G993" i="4"/>
  <c r="C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B994" i="4"/>
  <c r="E994" i="4"/>
  <c r="F994" i="4"/>
  <c r="C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D995" i="4"/>
  <c r="C995" i="4"/>
  <c r="F995" i="4"/>
  <c r="E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F996" i="4"/>
  <c r="C996" i="4"/>
  <c r="G996" i="4"/>
  <c r="D996" i="4"/>
  <c r="B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C997" i="4"/>
  <c r="E997" i="4"/>
  <c r="F997" i="4"/>
  <c r="D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G998" i="4"/>
  <c r="B998" i="4"/>
  <c r="F998" i="4"/>
  <c r="C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E999" i="4"/>
  <c r="G999" i="4"/>
  <c r="C999" i="4"/>
  <c r="F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G1000" i="4"/>
  <c r="F1000" i="4"/>
  <c r="D1000" i="4"/>
  <c r="B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B1001" i="4"/>
  <c r="G1001" i="4"/>
  <c r="C1001" i="4"/>
  <c r="D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D1002" i="4"/>
  <c r="F1002" i="4"/>
  <c r="G1002" i="4"/>
  <c r="B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G1003" i="4"/>
  <c r="E1003" i="4"/>
  <c r="D1003" i="4"/>
  <c r="B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F1004" i="4"/>
  <c r="G1004" i="4"/>
  <c r="E1004" i="4"/>
  <c r="D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F1005" i="4"/>
  <c r="C1005" i="4"/>
  <c r="G1005" i="4"/>
  <c r="D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G1006" i="4"/>
  <c r="F1006" i="4"/>
  <c r="C1006" i="4"/>
  <c r="B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F1007" i="4"/>
  <c r="C1007" i="4"/>
  <c r="B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C1008" i="4"/>
  <c r="F1008" i="4"/>
  <c r="B1008" i="4"/>
  <c r="D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B1009" i="4"/>
  <c r="C1009" i="4"/>
  <c r="D1009" i="4"/>
  <c r="G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C1010" i="4"/>
  <c r="D1010" i="4"/>
  <c r="B1010" i="4"/>
  <c r="G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C1011" i="4"/>
  <c r="F1011" i="4"/>
  <c r="B1011" i="4"/>
  <c r="G1011" i="4"/>
  <c r="D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F1012" i="4"/>
  <c r="C1012" i="4"/>
  <c r="D1012" i="4"/>
  <c r="E1012" i="4"/>
  <c r="G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D1013" i="4"/>
  <c r="C1013" i="4"/>
  <c r="B1013" i="4"/>
  <c r="E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G1014" i="4"/>
  <c r="F1014" i="4"/>
  <c r="E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F1015" i="4"/>
  <c r="C1015" i="4"/>
  <c r="D1015" i="4"/>
  <c r="E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E1016" i="4"/>
  <c r="D1016" i="4"/>
  <c r="G1016" i="4"/>
  <c r="C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G1017" i="4"/>
  <c r="B1017" i="4"/>
  <c r="E1017" i="4"/>
  <c r="F1017" i="4"/>
  <c r="C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D1018" i="4"/>
  <c r="G1018" i="4"/>
  <c r="C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C1019" i="4"/>
  <c r="G1019" i="4"/>
  <c r="F1019" i="4"/>
  <c r="E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D1020" i="4"/>
  <c r="G1020" i="4"/>
  <c r="B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D1021" i="4"/>
  <c r="G1021" i="4"/>
  <c r="C1021" i="4"/>
  <c r="E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F1022" i="4"/>
  <c r="B1022" i="4"/>
  <c r="E1022" i="4"/>
  <c r="G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G1023" i="4"/>
  <c r="C1023" i="4"/>
  <c r="F1023" i="4"/>
  <c r="E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B1024" i="4"/>
  <c r="D1024" i="4"/>
  <c r="E1024" i="4"/>
  <c r="F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D1025" i="4"/>
  <c r="B1025" i="4"/>
  <c r="E1025" i="4"/>
  <c r="G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G1026" i="4"/>
  <c r="F1026" i="4"/>
  <c r="D1026" i="4"/>
  <c r="C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E1027" i="4"/>
  <c r="C1027" i="4"/>
  <c r="D1027" i="4"/>
  <c r="F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B1028" i="4"/>
  <c r="D1028" i="4"/>
  <c r="G1028" i="4"/>
  <c r="F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F1029" i="4"/>
  <c r="E1029" i="4"/>
  <c r="D1029" i="4"/>
  <c r="C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E1030" i="4"/>
  <c r="D1030" i="4"/>
  <c r="B1030" i="4"/>
  <c r="F1030" i="4"/>
  <c r="C1030" i="4"/>
  <c r="G1030" i="4"/>
  <c r="B1029" i="6" l="1"/>
  <c r="C1029" i="6" s="1"/>
  <c r="D1029" i="6" s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H1030" i="4"/>
  <c r="I1030" i="4"/>
  <c r="A1030" i="6"/>
  <c r="A1031" i="8" s="1"/>
  <c r="D1031" i="4"/>
  <c r="B1031" i="4"/>
  <c r="F1031" i="4"/>
  <c r="C1031" i="4"/>
  <c r="G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F1032" i="4"/>
  <c r="C1032" i="4"/>
  <c r="G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D1033" i="4"/>
  <c r="G1033" i="4"/>
  <c r="E1033" i="4"/>
  <c r="F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E1034" i="4"/>
  <c r="F1034" i="4"/>
  <c r="G1034" i="4"/>
  <c r="C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D1035" i="4"/>
  <c r="B1035" i="4"/>
  <c r="G1035" i="4"/>
  <c r="C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G1036" i="4"/>
  <c r="B1036" i="4"/>
  <c r="E1036" i="4"/>
  <c r="F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D1037" i="4"/>
  <c r="G1037" i="4"/>
  <c r="E1037" i="4"/>
  <c r="B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C1038" i="4"/>
  <c r="E1038" i="4"/>
  <c r="G1038" i="4"/>
  <c r="F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F1039" i="4"/>
  <c r="E1039" i="4"/>
  <c r="G1039" i="4"/>
  <c r="D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G1040" i="4"/>
  <c r="E1040" i="4"/>
  <c r="C1040" i="4"/>
  <c r="B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D1041" i="4"/>
  <c r="B1041" i="4"/>
  <c r="C1041" i="4"/>
  <c r="F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D1042" i="4"/>
  <c r="C1042" i="4"/>
  <c r="F1042" i="4"/>
  <c r="G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G1043" i="4"/>
  <c r="B1043" i="4"/>
  <c r="C1043" i="4"/>
  <c r="F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D1044" i="4"/>
  <c r="G1044" i="4"/>
  <c r="E1044" i="4"/>
  <c r="C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D1045" i="4"/>
  <c r="E1045" i="4"/>
  <c r="C1045" i="4"/>
  <c r="F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D1046" i="4"/>
  <c r="G1046" i="4"/>
  <c r="E1046" i="4"/>
  <c r="C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F1047" i="4"/>
  <c r="G1047" i="4"/>
  <c r="C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E1048" i="4"/>
  <c r="F1048" i="4"/>
  <c r="D1048" i="4"/>
  <c r="B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B1049" i="4"/>
  <c r="F1049" i="4"/>
  <c r="E1049" i="4"/>
  <c r="C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D1050" i="4"/>
  <c r="B1050" i="4"/>
  <c r="E1050" i="4"/>
  <c r="G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B1051" i="4"/>
  <c r="G1051" i="4"/>
  <c r="C1051" i="4"/>
  <c r="F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E1052" i="4"/>
  <c r="F1052" i="4"/>
  <c r="G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F1053" i="4"/>
  <c r="C1053" i="4"/>
  <c r="G1053" i="4"/>
  <c r="E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G1054" i="4"/>
  <c r="D1054" i="4"/>
  <c r="F1054" i="4"/>
  <c r="E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F1055" i="4"/>
  <c r="B1055" i="4"/>
  <c r="D1055" i="4"/>
  <c r="C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F1056" i="4"/>
  <c r="E1056" i="4"/>
  <c r="C1056" i="4"/>
  <c r="G1056" i="4"/>
  <c r="D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E1057" i="4"/>
  <c r="F1057" i="4"/>
  <c r="G1057" i="4"/>
  <c r="D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D1058" i="4"/>
  <c r="F1058" i="4"/>
  <c r="B1058" i="4"/>
  <c r="E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G1059" i="4"/>
  <c r="F1059" i="4"/>
  <c r="E1059" i="4"/>
  <c r="B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D1060" i="4"/>
  <c r="F1060" i="4"/>
  <c r="C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B1061" i="4"/>
  <c r="G1061" i="4"/>
  <c r="E1061" i="4"/>
  <c r="F1061" i="4"/>
  <c r="D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F1062" i="4"/>
  <c r="E1062" i="4"/>
  <c r="B1062" i="4"/>
  <c r="G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D1063" i="4"/>
  <c r="G1063" i="4"/>
  <c r="E1063" i="4"/>
  <c r="B1063" i="4"/>
  <c r="C1063" i="4"/>
  <c r="F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B1064" i="4"/>
  <c r="C1064" i="4"/>
  <c r="D1064" i="4"/>
  <c r="F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B1065" i="4"/>
  <c r="C1065" i="4"/>
  <c r="E1065" i="4"/>
  <c r="F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G1066" i="4"/>
  <c r="C1066" i="4"/>
  <c r="F1066" i="4"/>
  <c r="E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F1067" i="4"/>
  <c r="E1067" i="4"/>
  <c r="C1067" i="4"/>
  <c r="D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C1068" i="4"/>
  <c r="E1068" i="4"/>
  <c r="G1068" i="4"/>
  <c r="B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F1069" i="4"/>
  <c r="G1069" i="4"/>
  <c r="C1069" i="4"/>
  <c r="E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B1070" i="4"/>
  <c r="E1070" i="4"/>
  <c r="G1070" i="4"/>
  <c r="D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C1071" i="4"/>
  <c r="E1071" i="4"/>
  <c r="D1071" i="4"/>
  <c r="G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D1072" i="4"/>
  <c r="G1072" i="4"/>
  <c r="C1072" i="4"/>
  <c r="F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E1073" i="4"/>
  <c r="C1073" i="4"/>
  <c r="B1073" i="4"/>
  <c r="G1073" i="4"/>
  <c r="D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B1074" i="4"/>
  <c r="G1074" i="4"/>
  <c r="F1074" i="4"/>
  <c r="C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D1075" i="4"/>
  <c r="C1075" i="4"/>
  <c r="E1075" i="4"/>
  <c r="G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G1076" i="4"/>
  <c r="D1076" i="4"/>
  <c r="E1076" i="4"/>
  <c r="B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B1077" i="4"/>
  <c r="F1077" i="4"/>
  <c r="C1077" i="4"/>
  <c r="E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F1078" i="4"/>
  <c r="G1078" i="4"/>
  <c r="B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G1079" i="4"/>
  <c r="E1079" i="4"/>
  <c r="C1079" i="4"/>
  <c r="B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F1080" i="4"/>
  <c r="E1080" i="4"/>
  <c r="B1080" i="4"/>
  <c r="D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E1081" i="4"/>
  <c r="D1081" i="4"/>
  <c r="C1081" i="4"/>
  <c r="B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C1082" i="4"/>
  <c r="D1082" i="4"/>
  <c r="G1082" i="4"/>
  <c r="E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F1083" i="4"/>
  <c r="B1083" i="4"/>
  <c r="E1083" i="4"/>
  <c r="G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F1084" i="4"/>
  <c r="E1084" i="4"/>
  <c r="C1084" i="4"/>
  <c r="G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B1085" i="4"/>
  <c r="F1085" i="4"/>
  <c r="D1085" i="4"/>
  <c r="E1085" i="4"/>
  <c r="C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G1086" i="4"/>
  <c r="D1086" i="4"/>
  <c r="F1086" i="4"/>
  <c r="E1086" i="4"/>
  <c r="B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E1087" i="4"/>
  <c r="B1087" i="4"/>
  <c r="C1087" i="4"/>
  <c r="F1087" i="4"/>
  <c r="D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G1088" i="4"/>
  <c r="F1088" i="4"/>
  <c r="D1088" i="4"/>
  <c r="C1088" i="4"/>
  <c r="B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E1089" i="4"/>
  <c r="F1089" i="4"/>
  <c r="C1089" i="4"/>
  <c r="G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G1090" i="4"/>
  <c r="B1090" i="4"/>
  <c r="F1090" i="4"/>
  <c r="E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F1091" i="4"/>
  <c r="B1091" i="4"/>
  <c r="D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F1092" i="4"/>
  <c r="B1092" i="4"/>
  <c r="G1092" i="4"/>
  <c r="C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E1093" i="4"/>
  <c r="B1093" i="4"/>
  <c r="D1093" i="4"/>
  <c r="C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B1094" i="4"/>
  <c r="C1094" i="4"/>
  <c r="E1094" i="4"/>
  <c r="G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D1095" i="4"/>
  <c r="C1095" i="4"/>
  <c r="G1095" i="4"/>
  <c r="E1095" i="4"/>
  <c r="B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E1096" i="4"/>
  <c r="C1096" i="4"/>
  <c r="D1096" i="4"/>
  <c r="F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B1097" i="4"/>
  <c r="G1097" i="4"/>
  <c r="E1097" i="4"/>
  <c r="C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F1098" i="4"/>
  <c r="E1098" i="4"/>
  <c r="C1098" i="4"/>
  <c r="D1098" i="4"/>
  <c r="B1098" i="4"/>
  <c r="G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D1099" i="4"/>
  <c r="C1099" i="4"/>
  <c r="B1099" i="4"/>
  <c r="E1099" i="4"/>
  <c r="G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C1100" i="4"/>
  <c r="D1100" i="4"/>
  <c r="G1100" i="4"/>
  <c r="E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F1101" i="4"/>
  <c r="G1101" i="4"/>
  <c r="E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F1102" i="4"/>
  <c r="G1102" i="4"/>
  <c r="D1102" i="4"/>
  <c r="B1102" i="4"/>
  <c r="E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E1103" i="4"/>
  <c r="G1103" i="4"/>
  <c r="C1103" i="4"/>
  <c r="D1103" i="4"/>
  <c r="B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D1104" i="4"/>
  <c r="E1104" i="4"/>
  <c r="G1104" i="4"/>
  <c r="C1104" i="4"/>
  <c r="F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<sst xmlns="http://schemas.openxmlformats.org/spreadsheetml/2006/main" count="147" uniqueCount="111">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</sst>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88"/>
  <sheetViews>
    <sheetView topLeftCell="A1168" workbookViewId="0">
      <selection activeCell="A1122" sqref="A1122:I118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88" si="56">AVERAGE(B1160:D1160)</f>
        <v>179.51329999999999</v>
      </c>
      <c r="I1160">
        <f t="shared" ref="I1160:I1188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  <row r="1182" spans="1:9">
      <c r="A1182" s="3">
        <f>信用曲线—价格!A1182</f>
        <v>46287</v>
      </c>
      <c r="B1182" s="1">
        <f>[1]!i_dq_close($B$1,A1182)</f>
        <v>161.60400000000001</v>
      </c>
      <c r="C1182" s="1">
        <f>[1]!i_dq_close($C$1,A1182)</f>
        <v>181.0308</v>
      </c>
      <c r="D1182" s="1">
        <f>[1]!i_dq_close($D$1,A1182)</f>
        <v>197.1566</v>
      </c>
      <c r="E1182" s="1">
        <f>[1]!i_dq_close($E$1,A1182)</f>
        <v>207.55869999999999</v>
      </c>
      <c r="F1182" s="1">
        <f>[1]!i_dq_close($F$1,A1182)</f>
        <v>223.45349999999999</v>
      </c>
      <c r="G1182" s="1">
        <f>[1]!i_dq_close($G$1,A1182)</f>
        <v>238.9359</v>
      </c>
      <c r="H1182">
        <f t="shared" si="56"/>
        <v>179.93046666666669</v>
      </c>
      <c r="I1182">
        <f t="shared" si="57"/>
        <v>223.31603333333337</v>
      </c>
    </row>
    <row r="1183" spans="1:9">
      <c r="A1183" s="3">
        <f>信用曲线—价格!A1183</f>
        <v>46288</v>
      </c>
      <c r="B1183" s="1">
        <f>[1]!i_dq_close($B$1,A1183)</f>
        <v>161.613</v>
      </c>
      <c r="C1183" s="1">
        <f>[1]!i_dq_close($C$1,A1183)</f>
        <v>181.05199999999999</v>
      </c>
      <c r="D1183" s="1">
        <f>[1]!i_dq_close($D$1,A1183)</f>
        <v>197.20050000000001</v>
      </c>
      <c r="E1183" s="1">
        <f>[1]!i_dq_close($E$1,A1183)</f>
        <v>207.67259999999999</v>
      </c>
      <c r="F1183" s="1">
        <f>[1]!i_dq_close($F$1,A1183)</f>
        <v>223.60589999999999</v>
      </c>
      <c r="G1183" s="1">
        <f>[1]!i_dq_close($G$1,A1183)</f>
        <v>239.18629999999999</v>
      </c>
      <c r="H1183">
        <f t="shared" si="56"/>
        <v>179.95516666666666</v>
      </c>
      <c r="I1183">
        <f t="shared" si="57"/>
        <v>223.48826666666665</v>
      </c>
    </row>
    <row r="1184" spans="1:9">
      <c r="A1184" s="3">
        <f>信用曲线—价格!A1184</f>
        <v>46289</v>
      </c>
      <c r="B1184" s="1">
        <f>[1]!i_dq_close($B$1,A1184)</f>
        <v>161.6199</v>
      </c>
      <c r="C1184" s="1">
        <f>[1]!i_dq_close($C$1,A1184)</f>
        <v>181.06819999999999</v>
      </c>
      <c r="D1184" s="1">
        <f>[1]!i_dq_close($D$1,A1184)</f>
        <v>197.23750000000001</v>
      </c>
      <c r="E1184" s="1">
        <f>[1]!i_dq_close($E$1,A1184)</f>
        <v>207.7276</v>
      </c>
      <c r="F1184" s="1">
        <f>[1]!i_dq_close($F$1,A1184)</f>
        <v>223.77930000000001</v>
      </c>
      <c r="G1184" s="1">
        <f>[1]!i_dq_close($G$1,A1184)</f>
        <v>239.39179999999999</v>
      </c>
      <c r="H1184">
        <f t="shared" si="56"/>
        <v>179.9752</v>
      </c>
      <c r="I1184">
        <f t="shared" si="57"/>
        <v>223.63289999999998</v>
      </c>
    </row>
    <row r="1185" spans="1:9">
      <c r="A1185" s="3">
        <f>信用曲线—价格!A1185</f>
        <v>46293</v>
      </c>
      <c r="B1185" s="1">
        <f>[1]!i_dq_close($B$1,A1185)</f>
        <v>161.65</v>
      </c>
      <c r="C1185" s="1">
        <f>[1]!i_dq_close($C$1,A1185)</f>
        <v>181.09729999999999</v>
      </c>
      <c r="D1185" s="1">
        <f>[1]!i_dq_close($D$1,A1185)</f>
        <v>197.28210000000001</v>
      </c>
      <c r="E1185" s="1">
        <f>[1]!i_dq_close($E$1,A1185)</f>
        <v>207.7722</v>
      </c>
      <c r="F1185" s="1">
        <f>[1]!i_dq_close($F$1,A1185)</f>
        <v>223.89150000000001</v>
      </c>
      <c r="G1185" s="1">
        <f>[1]!i_dq_close($G$1,A1185)</f>
        <v>239.42009999999999</v>
      </c>
      <c r="H1185">
        <f t="shared" si="56"/>
        <v>180.00980000000001</v>
      </c>
      <c r="I1185">
        <f t="shared" si="57"/>
        <v>223.69460000000001</v>
      </c>
    </row>
    <row r="1186" spans="1:9">
      <c r="A1186" s="3">
        <f>信用曲线—价格!A1186</f>
        <v>46294</v>
      </c>
      <c r="B1186" s="1">
        <f>[1]!i_dq_close($B$1,A1186)</f>
        <v>161.66120000000001</v>
      </c>
      <c r="C1186" s="1">
        <f>[1]!i_dq_close($C$1,A1186)</f>
        <v>181.12309999999999</v>
      </c>
      <c r="D1186" s="1">
        <f>[1]!i_dq_close($D$1,A1186)</f>
        <v>197.31819999999999</v>
      </c>
      <c r="E1186" s="1">
        <f>[1]!i_dq_close($E$1,A1186)</f>
        <v>207.85910000000001</v>
      </c>
      <c r="F1186" s="1">
        <f>[1]!i_dq_close($F$1,A1186)</f>
        <v>224.04159999999999</v>
      </c>
      <c r="G1186" s="1">
        <f>[1]!i_dq_close($G$1,A1186)</f>
        <v>239.65790000000001</v>
      </c>
      <c r="H1186">
        <f t="shared" si="56"/>
        <v>180.03416666666666</v>
      </c>
      <c r="I1186">
        <f t="shared" si="57"/>
        <v>223.8528666666667</v>
      </c>
    </row>
    <row r="1187" spans="1:9">
      <c r="A1187" s="3">
        <f>信用曲线—价格!A1187</f>
        <v>46295</v>
      </c>
      <c r="B1187" s="1">
        <f>[1]!i_dq_close($B$1,A1187)</f>
        <v>161.67189999999999</v>
      </c>
      <c r="C1187" s="1">
        <f>[1]!i_dq_close($C$1,A1187)</f>
        <v>181.12909999999999</v>
      </c>
      <c r="D1187" s="1">
        <f>[1]!i_dq_close($D$1,A1187)</f>
        <v>197.3253</v>
      </c>
      <c r="E1187" s="1">
        <f>[1]!i_dq_close($E$1,A1187)</f>
        <v>207.84729999999999</v>
      </c>
      <c r="F1187" s="1">
        <f>[1]!i_dq_close($F$1,A1187)</f>
        <v>224.03960000000001</v>
      </c>
      <c r="G1187" s="1">
        <f>[1]!i_dq_close($G$1,A1187)</f>
        <v>239.6978</v>
      </c>
      <c r="H1187">
        <f t="shared" si="56"/>
        <v>180.0421</v>
      </c>
      <c r="I1187">
        <f t="shared" si="57"/>
        <v>223.86156666666668</v>
      </c>
    </row>
    <row r="1188" spans="1:9">
      <c r="A1188" s="3">
        <f>信用曲线—价格!A1188</f>
        <v>46303</v>
      </c>
      <c r="B1188" s="1">
        <f>[1]!i_dq_close($B$1,A1188)</f>
        <v>161.72819999999999</v>
      </c>
      <c r="C1188" s="1">
        <f>[1]!i_dq_close($C$1,A1188)</f>
        <v>181.20240000000001</v>
      </c>
      <c r="D1188" s="1">
        <f>[1]!i_dq_close($D$1,A1188)</f>
        <v>197.4161</v>
      </c>
      <c r="E1188" s="1">
        <f>[1]!i_dq_close($E$1,A1188)</f>
        <v>207.93129999999999</v>
      </c>
      <c r="F1188" s="1">
        <f>[1]!i_dq_close($F$1,A1188)</f>
        <v>224.08260000000001</v>
      </c>
      <c r="G1188" s="1">
        <f>[1]!i_dq_close($G$1,A1188)</f>
        <v>239.91460000000001</v>
      </c>
      <c r="H1188">
        <f t="shared" si="56"/>
        <v>180.11556666666669</v>
      </c>
      <c r="I1188">
        <f t="shared" si="57"/>
        <v>223.97616666666667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7" activePane="bottomRight" state="frozen"/>
      <selection pane="topRight" activeCell="B1" sqref="B1"/>
      <selection pane="bottomLeft" activeCell="A3" sqref="A3"/>
      <selection pane="bottomRight" activeCell="H1167" sqref="H1167:I118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88" si="54">(D1180-F1180)*100</f>
        <v>28.63</v>
      </c>
      <c r="I1180">
        <f t="shared" ref="I1180:I1188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A1182" s="5">
        <v>46287</v>
      </c>
      <c r="B1182" s="6">
        <v>1.67</v>
      </c>
      <c r="C1182" s="6">
        <v>1.7436</v>
      </c>
      <c r="D1182" s="6">
        <v>1.9167000000000001</v>
      </c>
      <c r="E1182" s="6">
        <v>2.1490999999999998</v>
      </c>
      <c r="F1182" s="6">
        <v>1.6536</v>
      </c>
      <c r="G1182" s="6">
        <v>1.752</v>
      </c>
      <c r="H1182">
        <f t="shared" si="54"/>
        <v>26.310000000000009</v>
      </c>
      <c r="I1182">
        <f t="shared" si="55"/>
        <v>39.70999999999998</v>
      </c>
      <c r="J1182" s="6"/>
      <c r="K1182" s="6"/>
      <c r="L1182" s="6"/>
      <c r="M1182" s="6"/>
      <c r="N1182" s="6"/>
    </row>
    <row r="1183" spans="1:14">
      <c r="A1183" s="5">
        <v>46288</v>
      </c>
      <c r="B1183" s="6">
        <v>1.6700999999999999</v>
      </c>
      <c r="C1183" s="6">
        <v>1.7410000000000001</v>
      </c>
      <c r="D1183" s="6">
        <v>1.9038999999999999</v>
      </c>
      <c r="E1183" s="6">
        <v>2.1404000000000001</v>
      </c>
      <c r="F1183" s="6">
        <v>1.6551</v>
      </c>
      <c r="G1183" s="6">
        <v>1.7545999999999999</v>
      </c>
      <c r="H1183">
        <f t="shared" si="54"/>
        <v>24.879999999999992</v>
      </c>
      <c r="I1183">
        <f t="shared" si="55"/>
        <v>38.580000000000013</v>
      </c>
      <c r="J1183" s="6"/>
      <c r="K1183" s="6"/>
      <c r="L1183" s="6"/>
      <c r="M1183" s="6"/>
      <c r="N1183" s="6"/>
    </row>
    <row r="1184" spans="1:14">
      <c r="A1184" s="5">
        <v>46289</v>
      </c>
      <c r="B1184" s="6">
        <v>1.6684000000000001</v>
      </c>
      <c r="C1184" s="6">
        <v>1.7366999999999999</v>
      </c>
      <c r="D1184" s="6">
        <v>1.8985000000000001</v>
      </c>
      <c r="E1184" s="6">
        <v>2.1254</v>
      </c>
      <c r="F1184" s="6">
        <v>1.6500999999999999</v>
      </c>
      <c r="G1184" s="6">
        <v>1.7475000000000001</v>
      </c>
      <c r="H1184">
        <f t="shared" si="54"/>
        <v>24.840000000000018</v>
      </c>
      <c r="I1184">
        <f t="shared" si="55"/>
        <v>37.789999999999992</v>
      </c>
      <c r="J1184" s="6"/>
      <c r="K1184" s="6"/>
      <c r="L1184" s="6"/>
      <c r="M1184" s="6"/>
      <c r="N1184" s="6"/>
    </row>
    <row r="1185" spans="1:14">
      <c r="A1185" s="5">
        <v>46293</v>
      </c>
      <c r="B1185" s="6">
        <v>1.6685000000000001</v>
      </c>
      <c r="C1185" s="6">
        <v>1.7379</v>
      </c>
      <c r="D1185" s="6">
        <v>1.8855</v>
      </c>
      <c r="E1185" s="6">
        <v>2.1252</v>
      </c>
      <c r="F1185" s="6">
        <v>1.6533</v>
      </c>
      <c r="G1185" s="6">
        <v>1.7534000000000001</v>
      </c>
      <c r="H1185">
        <f t="shared" si="54"/>
        <v>23.219999999999995</v>
      </c>
      <c r="I1185">
        <f t="shared" si="55"/>
        <v>37.179999999999993</v>
      </c>
      <c r="J1185" s="6"/>
      <c r="K1185" s="6"/>
      <c r="L1185" s="6"/>
      <c r="M1185" s="6"/>
      <c r="N1185" s="6"/>
    </row>
    <row r="1186" spans="1:14">
      <c r="A1186" s="5">
        <v>46294</v>
      </c>
      <c r="B1186" s="6">
        <v>1.6628000000000001</v>
      </c>
      <c r="C1186" s="6">
        <v>1.7355</v>
      </c>
      <c r="D1186" s="6">
        <v>1.8777999999999999</v>
      </c>
      <c r="E1186" s="6">
        <v>2.1111</v>
      </c>
      <c r="F1186" s="6">
        <v>1.6397999999999999</v>
      </c>
      <c r="G1186" s="6">
        <v>1.7407999999999999</v>
      </c>
      <c r="H1186">
        <f t="shared" si="54"/>
        <v>23.799999999999997</v>
      </c>
      <c r="I1186">
        <f t="shared" si="55"/>
        <v>37.030000000000008</v>
      </c>
      <c r="J1186" s="6"/>
      <c r="K1186" s="6"/>
      <c r="L1186" s="6"/>
      <c r="M1186" s="6"/>
      <c r="N1186" s="6"/>
    </row>
    <row r="1187" spans="1:14">
      <c r="A1187" s="5">
        <v>46295</v>
      </c>
      <c r="B1187" s="6">
        <v>1.6719999999999999</v>
      </c>
      <c r="C1187" s="6">
        <v>1.7406999999999999</v>
      </c>
      <c r="D1187" s="6">
        <v>1.8842000000000001</v>
      </c>
      <c r="E1187" s="6">
        <v>2.11</v>
      </c>
      <c r="F1187" s="6">
        <v>1.6548</v>
      </c>
      <c r="G1187" s="6">
        <v>1.7559</v>
      </c>
      <c r="H1187">
        <f t="shared" si="54"/>
        <v>22.940000000000005</v>
      </c>
      <c r="I1187">
        <f t="shared" si="55"/>
        <v>35.409999999999982</v>
      </c>
      <c r="J1187" s="6"/>
      <c r="K1187" s="6"/>
      <c r="L1187" s="6"/>
      <c r="M1187" s="6"/>
      <c r="N1187" s="6"/>
    </row>
    <row r="1188" spans="1:14">
      <c r="A1188" s="5">
        <v>46303</v>
      </c>
      <c r="B1188" s="6">
        <v>1.6678999999999999</v>
      </c>
      <c r="C1188" s="6">
        <v>1.7474000000000001</v>
      </c>
      <c r="D1188" s="6">
        <v>1.8906000000000001</v>
      </c>
      <c r="E1188" s="6">
        <v>2.1067</v>
      </c>
      <c r="F1188" s="6">
        <v>1.6597999999999999</v>
      </c>
      <c r="G1188" s="6">
        <v>1.7559</v>
      </c>
      <c r="H1188">
        <f t="shared" si="54"/>
        <v>23.080000000000013</v>
      </c>
      <c r="I1188">
        <f t="shared" si="55"/>
        <v>35.08</v>
      </c>
      <c r="J1188" s="6"/>
      <c r="K1188" s="6"/>
      <c r="L1188" s="6"/>
      <c r="M1188" s="6"/>
      <c r="N1188" s="6"/>
    </row>
    <row r="1189" spans="1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1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1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1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1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1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1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1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1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1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1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1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6" activePane="bottomRight" state="frozen"/>
      <selection pane="topRight" activeCell="B1" sqref="B1"/>
      <selection pane="bottomLeft" activeCell="A3" sqref="A3"/>
      <selection pane="bottomRight" activeCell="A1122" sqref="A1122:H118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88" si="138">AVERAGE(B1120:B1161)</f>
        <v>1.2284350749777257</v>
      </c>
      <c r="D1161" s="14">
        <f t="shared" ref="D1161:D1188" si="139">(B1161/C1161-1)*100</f>
        <v>0.56171602954160349</v>
      </c>
      <c r="E1161" s="14">
        <f t="shared" ref="E1161:E1188" si="140">AVERAGE(D1141:D1161)</f>
        <v>0.44454884273680007</v>
      </c>
      <c r="F1161" s="15" t="str">
        <f t="shared" ref="F1161:F1188" si="141">IF(E1161&gt;0,"上升","下降")</f>
        <v>上升</v>
      </c>
      <c r="G1161" s="14">
        <f t="shared" ref="G1161:G1188" si="142">D1161-D1148</f>
        <v>0.21133234367454179</v>
      </c>
      <c r="H1161" s="1" t="str">
        <f t="shared" ref="H1161:H1188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>
        <f>财富指数—趋势!A1182</f>
        <v>46287</v>
      </c>
      <c r="B1182" s="12">
        <f>财富指数—趋势!I1182/财富指数—趋势!H1182</f>
        <v>1.2411240712616023</v>
      </c>
      <c r="C1182" s="12">
        <f t="shared" si="138"/>
        <v>1.2341012978714108</v>
      </c>
      <c r="D1182" s="14">
        <f t="shared" si="139"/>
        <v>0.56905972000065308</v>
      </c>
      <c r="E1182" s="14">
        <f t="shared" si="140"/>
        <v>0.43931106867148695</v>
      </c>
      <c r="F1182" s="15" t="str">
        <f t="shared" si="141"/>
        <v>上升</v>
      </c>
      <c r="G1182" s="14">
        <f t="shared" si="142"/>
        <v>0.12824439825638301</v>
      </c>
      <c r="H1182" s="1" t="str">
        <f t="shared" si="143"/>
        <v>领先</v>
      </c>
    </row>
    <row r="1183" spans="1:8">
      <c r="A1183" s="3">
        <f>财富指数—趋势!A1183</f>
        <v>46288</v>
      </c>
      <c r="B1183" s="12">
        <f>财富指数—趋势!I1183/财富指数—趋势!H1183</f>
        <v>1.241910809266382</v>
      </c>
      <c r="C1183" s="12">
        <f t="shared" si="138"/>
        <v>1.2344295560802345</v>
      </c>
      <c r="D1183" s="14">
        <f t="shared" si="139"/>
        <v>0.60604942171857967</v>
      </c>
      <c r="E1183" s="14">
        <f t="shared" si="140"/>
        <v>0.44343576740368917</v>
      </c>
      <c r="F1183" s="15" t="str">
        <f t="shared" si="141"/>
        <v>上升</v>
      </c>
      <c r="G1183" s="14">
        <f t="shared" si="142"/>
        <v>0.16370392181102034</v>
      </c>
      <c r="H1183" s="1" t="str">
        <f t="shared" si="143"/>
        <v>领先</v>
      </c>
    </row>
    <row r="1184" spans="1:8">
      <c r="A1184" s="3">
        <f>财富指数—趋势!A1184</f>
        <v>46289</v>
      </c>
      <c r="B1184" s="12">
        <f>财富指数—趋势!I1184/财富指数—趋势!H1184</f>
        <v>1.2425761993874711</v>
      </c>
      <c r="C1184" s="12">
        <f t="shared" si="138"/>
        <v>1.2347799429937214</v>
      </c>
      <c r="D1184" s="14">
        <f t="shared" si="139"/>
        <v>0.63138832453397686</v>
      </c>
      <c r="E1184" s="14">
        <f t="shared" si="140"/>
        <v>0.45112820757763827</v>
      </c>
      <c r="F1184" s="15" t="str">
        <f t="shared" si="141"/>
        <v>上升</v>
      </c>
      <c r="G1184" s="14">
        <f t="shared" si="142"/>
        <v>0.21651680558074649</v>
      </c>
      <c r="H1184" s="1" t="str">
        <f t="shared" si="143"/>
        <v>领先</v>
      </c>
    </row>
    <row r="1185" spans="1:8">
      <c r="A1185" s="3">
        <f>财富指数—趋势!A1185</f>
        <v>46293</v>
      </c>
      <c r="B1185" s="12">
        <f>财富指数—趋势!I1185/财富指数—趋势!H1185</f>
        <v>1.2426801207489815</v>
      </c>
      <c r="C1185" s="12">
        <f t="shared" si="138"/>
        <v>1.2351228407128281</v>
      </c>
      <c r="D1185" s="14">
        <f t="shared" si="139"/>
        <v>0.61186464917060146</v>
      </c>
      <c r="E1185" s="14">
        <f t="shared" si="140"/>
        <v>0.45889186215804706</v>
      </c>
      <c r="F1185" s="15" t="str">
        <f t="shared" si="141"/>
        <v>上升</v>
      </c>
      <c r="G1185" s="14">
        <f t="shared" si="142"/>
        <v>0.20152566915978554</v>
      </c>
      <c r="H1185" s="1" t="str">
        <f t="shared" si="143"/>
        <v>领先</v>
      </c>
    </row>
    <row r="1186" spans="1:8">
      <c r="A1186" s="3">
        <f>财富指数—趋势!A1186</f>
        <v>46294</v>
      </c>
      <c r="B1186" s="12">
        <f>财富指数—趋势!I1186/财富指数—趋势!H1186</f>
        <v>1.2433910230002641</v>
      </c>
      <c r="C1186" s="12">
        <f t="shared" si="138"/>
        <v>1.2354705503733971</v>
      </c>
      <c r="D1186" s="14">
        <f t="shared" si="139"/>
        <v>0.64108955284065683</v>
      </c>
      <c r="E1186" s="14">
        <f t="shared" si="140"/>
        <v>0.46740024626543075</v>
      </c>
      <c r="F1186" s="15" t="str">
        <f t="shared" si="141"/>
        <v>上升</v>
      </c>
      <c r="G1186" s="14">
        <f t="shared" si="142"/>
        <v>0.22429923909297322</v>
      </c>
      <c r="H1186" s="1" t="str">
        <f t="shared" si="143"/>
        <v>领先</v>
      </c>
    </row>
    <row r="1187" spans="1:8">
      <c r="A1187" s="3">
        <f>财富指数—趋势!A1187</f>
        <v>46295</v>
      </c>
      <c r="B1187" s="12">
        <f>财富指数—趋势!I1187/财富指数—趋势!H1187</f>
        <v>1.2433845565379802</v>
      </c>
      <c r="C1187" s="12">
        <f t="shared" si="138"/>
        <v>1.2358119612943621</v>
      </c>
      <c r="D1187" s="14">
        <f t="shared" si="139"/>
        <v>0.61276274067509906</v>
      </c>
      <c r="E1187" s="14">
        <f t="shared" si="140"/>
        <v>0.47553475514974658</v>
      </c>
      <c r="F1187" s="15" t="str">
        <f t="shared" si="141"/>
        <v>上升</v>
      </c>
      <c r="G1187" s="14">
        <f t="shared" si="142"/>
        <v>0.22114812257925109</v>
      </c>
      <c r="H1187" s="1" t="str">
        <f t="shared" si="143"/>
        <v>领先</v>
      </c>
    </row>
    <row r="1188" spans="1:8">
      <c r="A1188" s="3">
        <f>财富指数—趋势!A1188</f>
        <v>46303</v>
      </c>
      <c r="B1188" s="12">
        <f>财富指数—趋势!I1188/财富指数—趋势!H1188</f>
        <v>1.243513655214328</v>
      </c>
      <c r="C1188" s="12">
        <f t="shared" si="138"/>
        <v>1.2361651890627798</v>
      </c>
      <c r="D1188" s="14">
        <f t="shared" si="139"/>
        <v>0.59445664839661294</v>
      </c>
      <c r="E1188" s="14">
        <f t="shared" si="140"/>
        <v>0.48374672663515705</v>
      </c>
      <c r="F1188" s="15" t="str">
        <f t="shared" si="141"/>
        <v>上升</v>
      </c>
      <c r="G1188" s="14">
        <f t="shared" si="142"/>
        <v>0.22994035750145692</v>
      </c>
      <c r="H1188" s="1" t="str">
        <f t="shared" si="143"/>
        <v>领先</v>
      </c>
    </row>
    <row r="1189" spans="1:8">
      <c r="A1189" s="3"/>
    </row>
    <row r="1190" spans="1:8">
      <c r="A1190" s="3"/>
    </row>
    <row r="1191" spans="1:8">
      <c r="A1191" s="3"/>
    </row>
    <row r="1192" spans="1:8">
      <c r="A1192" s="3"/>
    </row>
    <row r="1193" spans="1:8">
      <c r="A1193" s="3"/>
    </row>
    <row r="1194" spans="1:8">
      <c r="A1194" s="3"/>
    </row>
    <row r="1195" spans="1:8">
      <c r="A1195" s="3"/>
    </row>
    <row r="1196" spans="1:8">
      <c r="A1196" s="3"/>
    </row>
    <row r="1197" spans="1:8">
      <c r="A1197" s="3"/>
    </row>
    <row r="1198" spans="1:8">
      <c r="A1198" s="3"/>
    </row>
    <row r="1199" spans="1:8">
      <c r="A1199" s="3"/>
    </row>
    <row r="1200" spans="1:8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89"/>
  <sheetViews>
    <sheetView workbookViewId="0">
      <pane xSplit="1" ySplit="3" topLeftCell="I1169" activePane="bottomRight" state="frozen"/>
      <selection pane="topRight" activeCell="B1" sqref="B1"/>
      <selection pane="bottomLeft" activeCell="A4" sqref="A4"/>
      <selection pane="bottomRight" activeCell="A1158" sqref="A1158:R118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6" si="301">AVERAGE(B1101:B1160)</f>
        <v>2.0772166666666667</v>
      </c>
      <c r="D1160" s="14">
        <f t="shared" ref="D1160:D1186" si="302">STDEV(B1101:B1160)</f>
        <v>2.3951824293895654E-2</v>
      </c>
      <c r="E1160" s="14">
        <f t="shared" ref="E1160:E1186" si="303">C1160+2*D1160</f>
        <v>2.125120315254458</v>
      </c>
      <c r="F1160" s="14">
        <f t="shared" ref="F1160:F1186" si="304">C1160-2*D1160</f>
        <v>2.0293130180788754</v>
      </c>
      <c r="G1160" s="17">
        <f t="shared" ref="G1160:G1186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6" si="306">AVERAGE(H1101:H1160)</f>
        <v>40.127833333333328</v>
      </c>
      <c r="J1160" s="17">
        <f t="shared" ref="J1160:J1186" si="307">STDEV(H1101:H1160)</f>
        <v>1.6091929671887493</v>
      </c>
      <c r="K1160" s="17">
        <f t="shared" ref="K1160:K1186" si="308">I1160+2*J1160</f>
        <v>43.346219267710829</v>
      </c>
      <c r="L1160" s="17">
        <f t="shared" ref="L1160:L1186" si="309">I1160-2*J1160</f>
        <v>36.909447398955827</v>
      </c>
      <c r="M1160" s="17">
        <f t="shared" ref="M1160:M1186" si="310">IF(AND(K1160&lt;&gt;L1160,NOT(ISBLANK(H1160))),100*(H1160-L1160)/(K1160-L1160),"")</f>
        <v>17.874683529318787</v>
      </c>
      <c r="N1160" s="17">
        <f t="shared" ref="N1160:N1186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6" si="312">AVERAGE(O1160:P1160)</f>
        <v>8.249999999999999E-2</v>
      </c>
      <c r="R1160" s="1" t="str">
        <f t="shared" ref="R1160:R1186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  <row r="1183" spans="1:18">
      <c r="A1183" s="3">
        <f>信用曲线—价格!A1182</f>
        <v>46287</v>
      </c>
      <c r="B1183" s="14">
        <f>信用曲线—价格!D1182</f>
        <v>1.9167000000000001</v>
      </c>
      <c r="C1183" s="14">
        <f t="shared" si="301"/>
        <v>2.033128333333333</v>
      </c>
      <c r="D1183" s="14">
        <f t="shared" si="302"/>
        <v>4.8339046545251139E-2</v>
      </c>
      <c r="E1183" s="14">
        <f t="shared" si="303"/>
        <v>2.1298064264238352</v>
      </c>
      <c r="F1183" s="14">
        <f t="shared" si="304"/>
        <v>1.9364502402428307</v>
      </c>
      <c r="G1183" s="17">
        <f t="shared" si="305"/>
        <v>-10.214434114014894</v>
      </c>
      <c r="H1183" s="17">
        <f>信用曲线—价格!H1182</f>
        <v>26.310000000000009</v>
      </c>
      <c r="I1183" s="17">
        <f t="shared" si="306"/>
        <v>36.886499999999998</v>
      </c>
      <c r="J1183" s="17">
        <f t="shared" si="307"/>
        <v>4.6473691573562084</v>
      </c>
      <c r="K1183" s="17">
        <f t="shared" si="308"/>
        <v>46.181238314712417</v>
      </c>
      <c r="L1183" s="17">
        <f t="shared" si="309"/>
        <v>27.59176168528758</v>
      </c>
      <c r="M1183" s="17">
        <f t="shared" si="310"/>
        <v>-6.8950929111081072</v>
      </c>
      <c r="N1183" s="17">
        <f t="shared" si="311"/>
        <v>-8.5547635125615002</v>
      </c>
      <c r="O1183" s="18">
        <f>IFERROR(_xlfn.PERCENTRANK.EXC(INDEX(B:B, MAX(4, ROW()-251)):INDEX(B:B, ROW()), B1183), "")</f>
        <v>3.0000000000000001E-3</v>
      </c>
      <c r="P1183" s="18">
        <f>IFERROR(_xlfn.PERCENTRANK.EXC(INDEX(H:H, MAX(4, ROW()-251)):INDEX(H:H, ROW()), H1183), "")</f>
        <v>3.0000000000000001E-3</v>
      </c>
      <c r="Q1183">
        <f t="shared" si="312"/>
        <v>3.0000000000000001E-3</v>
      </c>
      <c r="R1183" s="1" t="str">
        <f t="shared" si="313"/>
        <v>贵</v>
      </c>
    </row>
    <row r="1184" spans="1:18">
      <c r="A1184" s="3">
        <f>信用曲线—价格!A1183</f>
        <v>46288</v>
      </c>
      <c r="B1184" s="14">
        <f>信用曲线—价格!D1183</f>
        <v>1.9038999999999999</v>
      </c>
      <c r="C1184" s="14">
        <f t="shared" si="301"/>
        <v>2.0298416666666665</v>
      </c>
      <c r="D1184" s="14">
        <f t="shared" si="302"/>
        <v>5.0303287932660624E-2</v>
      </c>
      <c r="E1184" s="14">
        <f t="shared" si="303"/>
        <v>2.1304482425319877</v>
      </c>
      <c r="F1184" s="14">
        <f t="shared" si="304"/>
        <v>1.9292350908013454</v>
      </c>
      <c r="G1184" s="17">
        <f t="shared" si="305"/>
        <v>-12.591170399865669</v>
      </c>
      <c r="H1184" s="17">
        <f>信用曲线—价格!H1183</f>
        <v>24.879999999999992</v>
      </c>
      <c r="I1184" s="17">
        <f t="shared" si="306"/>
        <v>36.603666666666669</v>
      </c>
      <c r="J1184" s="17">
        <f t="shared" si="307"/>
        <v>4.8520559914981218</v>
      </c>
      <c r="K1184" s="17">
        <f t="shared" si="308"/>
        <v>46.307778649662914</v>
      </c>
      <c r="L1184" s="17">
        <f t="shared" si="309"/>
        <v>26.899554683670424</v>
      </c>
      <c r="M1184" s="17">
        <f t="shared" si="310"/>
        <v>-10.40566456368774</v>
      </c>
      <c r="N1184" s="17">
        <f t="shared" si="311"/>
        <v>-11.498417481776706</v>
      </c>
      <c r="O1184" s="18">
        <f>IFERROR(_xlfn.PERCENTRANK.EXC(INDEX(B:B, MAX(4, ROW()-251)):INDEX(B:B, ROW()), B1184), "")</f>
        <v>3.0000000000000001E-3</v>
      </c>
      <c r="P1184" s="18">
        <f>IFERROR(_xlfn.PERCENTRANK.EXC(INDEX(H:H, MAX(4, ROW()-251)):INDEX(H:H, ROW()), H1184), "")</f>
        <v>3.0000000000000001E-3</v>
      </c>
      <c r="Q1184">
        <f t="shared" si="312"/>
        <v>3.0000000000000001E-3</v>
      </c>
      <c r="R1184" s="1" t="str">
        <f t="shared" si="313"/>
        <v>贵</v>
      </c>
    </row>
    <row r="1185" spans="1:18">
      <c r="A1185" s="3">
        <f>信用曲线—价格!A1184</f>
        <v>46289</v>
      </c>
      <c r="B1185" s="14">
        <f>信用曲线—价格!D1184</f>
        <v>1.8985000000000001</v>
      </c>
      <c r="C1185" s="14">
        <f t="shared" si="301"/>
        <v>2.0265399999999993</v>
      </c>
      <c r="D1185" s="14">
        <f t="shared" si="302"/>
        <v>5.2308524761379621E-2</v>
      </c>
      <c r="E1185" s="14">
        <f t="shared" si="303"/>
        <v>2.1311570495227588</v>
      </c>
      <c r="F1185" s="14">
        <f t="shared" si="304"/>
        <v>1.9219229504772402</v>
      </c>
      <c r="G1185" s="17">
        <f t="shared" si="305"/>
        <v>-11.194614350189855</v>
      </c>
      <c r="H1185" s="17">
        <f>信用曲线—价格!H1184</f>
        <v>24.840000000000018</v>
      </c>
      <c r="I1185" s="17">
        <f t="shared" si="306"/>
        <v>36.326000000000008</v>
      </c>
      <c r="J1185" s="17">
        <f t="shared" si="307"/>
        <v>5.0401577860692255</v>
      </c>
      <c r="K1185" s="17">
        <f t="shared" si="308"/>
        <v>46.40631557213846</v>
      </c>
      <c r="L1185" s="17">
        <f t="shared" si="309"/>
        <v>26.245684427861555</v>
      </c>
      <c r="M1185" s="17">
        <f t="shared" si="310"/>
        <v>-6.9724227272546253</v>
      </c>
      <c r="N1185" s="17">
        <f t="shared" si="311"/>
        <v>-9.0835185387222399</v>
      </c>
      <c r="O1185" s="18">
        <f>IFERROR(_xlfn.PERCENTRANK.EXC(INDEX(B:B, MAX(4, ROW()-251)):INDEX(B:B, ROW()), B1185), "")</f>
        <v>3.0000000000000001E-3</v>
      </c>
      <c r="P1185" s="18">
        <f>IFERROR(_xlfn.PERCENTRANK.EXC(INDEX(H:H, MAX(4, ROW()-251)):INDEX(H:H, ROW()), H1185), "")</f>
        <v>3.0000000000000001E-3</v>
      </c>
      <c r="Q1185">
        <f t="shared" si="312"/>
        <v>3.0000000000000001E-3</v>
      </c>
      <c r="R1185" s="1" t="str">
        <f t="shared" si="313"/>
        <v>贵</v>
      </c>
    </row>
    <row r="1186" spans="1:18">
      <c r="A1186" s="3">
        <f>信用曲线—价格!A1185</f>
        <v>46293</v>
      </c>
      <c r="B1186" s="14">
        <f>信用曲线—价格!D1185</f>
        <v>1.8855</v>
      </c>
      <c r="C1186" s="14">
        <f t="shared" si="301"/>
        <v>2.0231066666666662</v>
      </c>
      <c r="D1186" s="14">
        <f t="shared" si="302"/>
        <v>5.4679332899439118E-2</v>
      </c>
      <c r="E1186" s="14">
        <f t="shared" si="303"/>
        <v>2.1324653324655443</v>
      </c>
      <c r="F1186" s="14">
        <f t="shared" si="304"/>
        <v>1.9137480008677878</v>
      </c>
      <c r="G1186" s="17">
        <f t="shared" si="305"/>
        <v>-12.915300612636798</v>
      </c>
      <c r="H1186" s="17">
        <f>信用曲线—价格!H1185</f>
        <v>23.219999999999995</v>
      </c>
      <c r="I1186" s="17">
        <f t="shared" si="306"/>
        <v>36.009500000000003</v>
      </c>
      <c r="J1186" s="17">
        <f t="shared" si="307"/>
        <v>5.2560275084412895</v>
      </c>
      <c r="K1186" s="17">
        <f t="shared" si="308"/>
        <v>46.52155501688258</v>
      </c>
      <c r="L1186" s="17">
        <f t="shared" si="309"/>
        <v>25.497444983117425</v>
      </c>
      <c r="M1186" s="17">
        <f t="shared" si="310"/>
        <v>-10.832539305872194</v>
      </c>
      <c r="N1186" s="17">
        <f t="shared" si="311"/>
        <v>-11.873919959254497</v>
      </c>
      <c r="O1186" s="18">
        <f>IFERROR(_xlfn.PERCENTRANK.EXC(INDEX(B:B, MAX(4, ROW()-251)):INDEX(B:B, ROW()), B1186), "")</f>
        <v>3.0000000000000001E-3</v>
      </c>
      <c r="P1186" s="18">
        <f>IFERROR(_xlfn.PERCENTRANK.EXC(INDEX(H:H, MAX(4, ROW()-251)):INDEX(H:H, ROW()), H1186), "")</f>
        <v>3.0000000000000001E-3</v>
      </c>
      <c r="Q1186">
        <f t="shared" si="312"/>
        <v>3.0000000000000001E-3</v>
      </c>
      <c r="R1186" s="1" t="str">
        <f t="shared" si="313"/>
        <v>贵</v>
      </c>
    </row>
    <row r="1187" spans="1:18">
      <c r="A1187" s="3">
        <f>信用曲线—价格!A1186</f>
        <v>46294</v>
      </c>
      <c r="B1187" s="14">
        <f>信用曲线—价格!D1186</f>
        <v>1.8777999999999999</v>
      </c>
      <c r="C1187" s="14">
        <f t="shared" ref="C1187:C1189" si="314">AVERAGE(B1128:B1187)</f>
        <v>2.0195466666666659</v>
      </c>
      <c r="D1187" s="14">
        <f t="shared" ref="D1187:D1189" si="315">STDEV(B1128:B1187)</f>
        <v>5.7059227233019733E-2</v>
      </c>
      <c r="E1187" s="14">
        <f t="shared" ref="E1187:E1189" si="316">C1187+2*D1187</f>
        <v>2.1336651211327053</v>
      </c>
      <c r="F1187" s="14">
        <f t="shared" ref="F1187:F1189" si="317">C1187-2*D1187</f>
        <v>1.9054282122006265</v>
      </c>
      <c r="G1187" s="17">
        <f t="shared" ref="G1187:G1189" si="318">IF(AND(E1187&lt;&gt;F1187,NOT(ISBLANK(B1187))),100*(B1187-F1187)/(E1187-F1187),"")</f>
        <v>-12.10505887496422</v>
      </c>
      <c r="H1187" s="17">
        <f>信用曲线—价格!H1186</f>
        <v>23.799999999999997</v>
      </c>
      <c r="I1187" s="17">
        <f t="shared" ref="I1187:I1189" si="319">AVERAGE(H1128:H1187)</f>
        <v>35.70033333333334</v>
      </c>
      <c r="J1187" s="17">
        <f t="shared" ref="J1187:J1189" si="320">STDEV(H1128:H1187)</f>
        <v>5.4197670118997161</v>
      </c>
      <c r="K1187" s="17">
        <f t="shared" ref="K1187:K1189" si="321">I1187+2*J1187</f>
        <v>46.539867357132771</v>
      </c>
      <c r="L1187" s="17">
        <f t="shared" ref="L1187:L1189" si="322">I1187-2*J1187</f>
        <v>24.86079930953391</v>
      </c>
      <c r="M1187" s="17">
        <f t="shared" ref="M1187:M1189" si="323">IF(AND(K1187&lt;&gt;L1187,NOT(ISBLANK(H1187))),100*(H1187-L1187)/(K1187-L1187),"")</f>
        <v>-4.8931960876030605</v>
      </c>
      <c r="N1187" s="17">
        <f t="shared" ref="N1187:N1189" si="324">IF(AND(NOT(ISBLANK(G1187)),NOT(ISBLANK(M1187))),(G1187+M1187)/2,"")</f>
        <v>-8.4991274812836402</v>
      </c>
      <c r="O1187" s="18">
        <f>IFERROR(_xlfn.PERCENTRANK.EXC(INDEX(B:B, MAX(4, ROW()-251)):INDEX(B:B, ROW()), B1187), "")</f>
        <v>3.0000000000000001E-3</v>
      </c>
      <c r="P1187" s="18">
        <f>IFERROR(_xlfn.PERCENTRANK.EXC(INDEX(H:H, MAX(4, ROW()-251)):INDEX(H:H, ROW()), H1187), "")</f>
        <v>7.0000000000000001E-3</v>
      </c>
      <c r="Q1187">
        <f t="shared" ref="Q1187:Q1189" si="325">AVERAGE(O1187:P1187)</f>
        <v>5.0000000000000001E-3</v>
      </c>
      <c r="R1187" s="1" t="str">
        <f t="shared" ref="R1187:R1189" si="326">IF(Q1187="", "", IF(Q1187&gt;=0.55, "便宜", IF(Q1187&gt;=0.15, "中性", "贵")))</f>
        <v>贵</v>
      </c>
    </row>
    <row r="1188" spans="1:18">
      <c r="A1188" s="3">
        <f>信用曲线—价格!A1187</f>
        <v>46295</v>
      </c>
      <c r="B1188" s="14">
        <f>信用曲线—价格!D1187</f>
        <v>1.8842000000000001</v>
      </c>
      <c r="C1188" s="14">
        <f t="shared" si="314"/>
        <v>2.0162616666666664</v>
      </c>
      <c r="D1188" s="14">
        <f t="shared" si="315"/>
        <v>5.908157845241932E-2</v>
      </c>
      <c r="E1188" s="14">
        <f t="shared" si="316"/>
        <v>2.1344248235715049</v>
      </c>
      <c r="F1188" s="14">
        <f t="shared" si="317"/>
        <v>1.8980985097618277</v>
      </c>
      <c r="G1188" s="17">
        <f t="shared" si="318"/>
        <v>-5.8810673842357728</v>
      </c>
      <c r="H1188" s="17">
        <f>信用曲线—价格!H1187</f>
        <v>22.940000000000005</v>
      </c>
      <c r="I1188" s="17">
        <f t="shared" si="319"/>
        <v>35.387000000000008</v>
      </c>
      <c r="J1188" s="17">
        <f t="shared" si="320"/>
        <v>5.6049561300994108</v>
      </c>
      <c r="K1188" s="17">
        <f t="shared" si="321"/>
        <v>46.596912260198827</v>
      </c>
      <c r="L1188" s="17">
        <f t="shared" si="322"/>
        <v>24.177087739801188</v>
      </c>
      <c r="M1188" s="17">
        <f t="shared" si="323"/>
        <v>-5.517829716622785</v>
      </c>
      <c r="N1188" s="17">
        <f t="shared" si="324"/>
        <v>-5.6994485504292793</v>
      </c>
      <c r="O1188" s="18">
        <f>IFERROR(_xlfn.PERCENTRANK.EXC(INDEX(B:B, MAX(4, ROW()-251)):INDEX(B:B, ROW()), B1188), "")</f>
        <v>7.0000000000000001E-3</v>
      </c>
      <c r="P1188" s="18">
        <f>IFERROR(_xlfn.PERCENTRANK.EXC(INDEX(H:H, MAX(4, ROW()-251)):INDEX(H:H, ROW()), H1188), "")</f>
        <v>3.0000000000000001E-3</v>
      </c>
      <c r="Q1188">
        <f t="shared" si="325"/>
        <v>5.0000000000000001E-3</v>
      </c>
      <c r="R1188" s="1" t="str">
        <f t="shared" si="326"/>
        <v>贵</v>
      </c>
    </row>
    <row r="1189" spans="1:18">
      <c r="A1189" s="3">
        <f>信用曲线—价格!A1188</f>
        <v>46303</v>
      </c>
      <c r="B1189" s="14">
        <f>信用曲线—价格!D1188</f>
        <v>1.8906000000000001</v>
      </c>
      <c r="C1189" s="14">
        <f t="shared" si="314"/>
        <v>2.0131049999999999</v>
      </c>
      <c r="D1189" s="14">
        <f t="shared" si="315"/>
        <v>6.0657100762246764E-2</v>
      </c>
      <c r="E1189" s="14">
        <f t="shared" si="316"/>
        <v>2.1344192015244934</v>
      </c>
      <c r="F1189" s="14">
        <f t="shared" si="317"/>
        <v>1.8917907984755065</v>
      </c>
      <c r="G1189" s="17">
        <f t="shared" si="318"/>
        <v>-0.4907910452948831</v>
      </c>
      <c r="H1189" s="17">
        <f>信用曲线—价格!H1188</f>
        <v>23.080000000000013</v>
      </c>
      <c r="I1189" s="17">
        <f t="shared" si="319"/>
        <v>35.083500000000001</v>
      </c>
      <c r="J1189" s="17">
        <f t="shared" si="320"/>
        <v>5.7704780006453635</v>
      </c>
      <c r="K1189" s="17">
        <f t="shared" si="321"/>
        <v>46.624456001290724</v>
      </c>
      <c r="L1189" s="17">
        <f t="shared" si="322"/>
        <v>23.542543998709274</v>
      </c>
      <c r="M1189" s="17">
        <f t="shared" si="323"/>
        <v>-2.003924105843272</v>
      </c>
      <c r="N1189" s="17">
        <f t="shared" si="324"/>
        <v>-1.2473575755690776</v>
      </c>
      <c r="O1189" s="18">
        <f>IFERROR(_xlfn.PERCENTRANK.EXC(INDEX(B:B, MAX(4, ROW()-251)):INDEX(B:B, ROW()), B1189), "")</f>
        <v>1.4999999999999999E-2</v>
      </c>
      <c r="P1189" s="18">
        <f>IFERROR(_xlfn.PERCENTRANK.EXC(INDEX(H:H, MAX(4, ROW()-251)):INDEX(H:H, ROW()), H1189), "")</f>
        <v>7.0000000000000001E-3</v>
      </c>
      <c r="Q1189">
        <f t="shared" si="325"/>
        <v>1.0999999999999999E-2</v>
      </c>
      <c r="R1189" s="1" t="str">
        <f t="shared" si="326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89"/>
  <sheetViews>
    <sheetView tabSelected="1" workbookViewId="0">
      <pane xSplit="1" ySplit="3" topLeftCell="C1173" activePane="bottomRight" state="frozen"/>
      <selection pane="topRight" activeCell="B1" sqref="B1"/>
      <selection pane="bottomLeft" activeCell="A4" sqref="A4"/>
      <selection pane="bottomRight" activeCell="A1187" sqref="A1187:L118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4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  <row r="1183" spans="1:12">
      <c r="A1183" s="21">
        <f>RRG趋势计算!A1182</f>
        <v>46287</v>
      </c>
      <c r="B1183" s="1" t="str">
        <f>RRG趋势计算!H1182</f>
        <v>领先</v>
      </c>
      <c r="C1183" s="1" t="str">
        <f>价格指标计算!R1183</f>
        <v>贵</v>
      </c>
      <c r="D1183" s="1" t="str">
        <f>RRG趋势计算!F1182</f>
        <v>上升</v>
      </c>
      <c r="E1183" s="1" t="str">
        <f t="shared" si="74"/>
        <v>持仓</v>
      </c>
      <c r="I1183" s="1">
        <f>价格指标计算!B1183</f>
        <v>1.9167000000000001</v>
      </c>
      <c r="J1183" s="1">
        <f>价格指标计算!Q1183</f>
        <v>3.0000000000000001E-3</v>
      </c>
      <c r="K1183" s="1">
        <f>RRG趋势计算!D1182</f>
        <v>0.56905972000065308</v>
      </c>
      <c r="L1183" s="1">
        <f>RRG趋势计算!G1182</f>
        <v>0.12824439825638301</v>
      </c>
    </row>
    <row r="1184" spans="1:12">
      <c r="A1184" s="21">
        <f>RRG趋势计算!A1183</f>
        <v>46288</v>
      </c>
      <c r="B1184" s="1" t="str">
        <f>RRG趋势计算!H1183</f>
        <v>领先</v>
      </c>
      <c r="C1184" s="1" t="str">
        <f>价格指标计算!R1184</f>
        <v>贵</v>
      </c>
      <c r="D1184" s="1" t="str">
        <f>RRG趋势计算!F1183</f>
        <v>上升</v>
      </c>
      <c r="E1184" s="1" t="str">
        <f t="shared" si="74"/>
        <v>持仓</v>
      </c>
      <c r="I1184" s="1">
        <f>价格指标计算!B1184</f>
        <v>1.9038999999999999</v>
      </c>
      <c r="J1184" s="1">
        <f>价格指标计算!Q1184</f>
        <v>3.0000000000000001E-3</v>
      </c>
      <c r="K1184" s="1">
        <f>RRG趋势计算!D1183</f>
        <v>0.60604942171857967</v>
      </c>
      <c r="L1184" s="1">
        <f>RRG趋势计算!G1183</f>
        <v>0.16370392181102034</v>
      </c>
    </row>
    <row r="1185" spans="1:12">
      <c r="A1185" s="21">
        <f>RRG趋势计算!A1184</f>
        <v>46289</v>
      </c>
      <c r="B1185" s="1" t="str">
        <f>RRG趋势计算!H1184</f>
        <v>领先</v>
      </c>
      <c r="C1185" s="1" t="str">
        <f>价格指标计算!R1185</f>
        <v>贵</v>
      </c>
      <c r="D1185" s="1" t="str">
        <f>RRG趋势计算!F1184</f>
        <v>上升</v>
      </c>
      <c r="E1185" s="1" t="str">
        <f t="shared" ref="E1185:E1188" si="75">IF(OR(B1185="",C1185="",D1185=""),"",IF(D1185="上升","持仓",IF(AND(B1185="减弱",C1185="贵"),"空仓",IF(AND(B1185="减弱",C1185="中性"),"空仓",IF(AND(B1185="改善",C1185="贵"),"空仓",IF(B1185="滞后","空仓","持仓"))))))</f>
        <v>持仓</v>
      </c>
      <c r="I1185" s="1">
        <f>价格指标计算!B1185</f>
        <v>1.8985000000000001</v>
      </c>
      <c r="J1185" s="1">
        <f>价格指标计算!Q1185</f>
        <v>3.0000000000000001E-3</v>
      </c>
      <c r="K1185" s="1">
        <f>RRG趋势计算!D1184</f>
        <v>0.63138832453397686</v>
      </c>
      <c r="L1185" s="1">
        <f>RRG趋势计算!G1184</f>
        <v>0.21651680558074649</v>
      </c>
    </row>
    <row r="1186" spans="1:12">
      <c r="A1186" s="21">
        <f>RRG趋势计算!A1185</f>
        <v>46293</v>
      </c>
      <c r="B1186" s="1" t="str">
        <f>RRG趋势计算!H1185</f>
        <v>领先</v>
      </c>
      <c r="C1186" s="1" t="str">
        <f>价格指标计算!R1186</f>
        <v>贵</v>
      </c>
      <c r="D1186" s="1" t="str">
        <f>RRG趋势计算!F1185</f>
        <v>上升</v>
      </c>
      <c r="E1186" s="1" t="str">
        <f t="shared" si="75"/>
        <v>持仓</v>
      </c>
      <c r="I1186" s="1">
        <f>价格指标计算!B1186</f>
        <v>1.8855</v>
      </c>
      <c r="J1186" s="1">
        <f>价格指标计算!Q1186</f>
        <v>3.0000000000000001E-3</v>
      </c>
      <c r="K1186" s="1">
        <f>RRG趋势计算!D1185</f>
        <v>0.61186464917060146</v>
      </c>
      <c r="L1186" s="1">
        <f>RRG趋势计算!G1185</f>
        <v>0.20152566915978554</v>
      </c>
    </row>
    <row r="1187" spans="1:12">
      <c r="A1187" s="21">
        <f>RRG趋势计算!A1186</f>
        <v>46294</v>
      </c>
      <c r="B1187" s="1" t="str">
        <f>RRG趋势计算!H1186</f>
        <v>领先</v>
      </c>
      <c r="C1187" s="1" t="str">
        <f>价格指标计算!R1187</f>
        <v>贵</v>
      </c>
      <c r="D1187" s="1" t="str">
        <f>RRG趋势计算!F1186</f>
        <v>上升</v>
      </c>
      <c r="E1187" s="1" t="str">
        <f t="shared" si="75"/>
        <v>持仓</v>
      </c>
      <c r="I1187" s="1">
        <f>价格指标计算!B1187</f>
        <v>1.8777999999999999</v>
      </c>
      <c r="J1187" s="1">
        <f>价格指标计算!Q1187</f>
        <v>5.0000000000000001E-3</v>
      </c>
      <c r="K1187" s="1">
        <f>RRG趋势计算!D1186</f>
        <v>0.64108955284065683</v>
      </c>
      <c r="L1187" s="1">
        <f>RRG趋势计算!G1186</f>
        <v>0.22429923909297322</v>
      </c>
    </row>
    <row r="1188" spans="1:12">
      <c r="A1188" s="21">
        <f>RRG趋势计算!A1187</f>
        <v>46295</v>
      </c>
      <c r="B1188" s="1" t="str">
        <f>RRG趋势计算!H1187</f>
        <v>领先</v>
      </c>
      <c r="C1188" s="1" t="str">
        <f>价格指标计算!R1188</f>
        <v>贵</v>
      </c>
      <c r="D1188" s="1" t="str">
        <f>RRG趋势计算!F1187</f>
        <v>上升</v>
      </c>
      <c r="E1188" s="1" t="str">
        <f t="shared" si="75"/>
        <v>持仓</v>
      </c>
      <c r="I1188" s="1">
        <f>价格指标计算!B1188</f>
        <v>1.8842000000000001</v>
      </c>
      <c r="J1188" s="1">
        <f>价格指标计算!Q1188</f>
        <v>5.0000000000000001E-3</v>
      </c>
      <c r="K1188" s="1">
        <f>RRG趋势计算!D1187</f>
        <v>0.61276274067509906</v>
      </c>
      <c r="L1188" s="1">
        <f>RRG趋势计算!G1187</f>
        <v>0.22114812257925109</v>
      </c>
    </row>
    <row r="1189" spans="1:12">
      <c r="A1189" s="21">
        <f>RRG趋势计算!A1188</f>
        <v>46303</v>
      </c>
      <c r="B1189" s="1" t="str">
        <f>RRG趋势计算!H1188</f>
        <v>领先</v>
      </c>
      <c r="C1189" s="1" t="str">
        <f>价格指标计算!R1189</f>
        <v>贵</v>
      </c>
      <c r="D1189" s="1" t="str">
        <f>RRG趋势计算!F1188</f>
        <v>上升</v>
      </c>
      <c r="E1189" s="1" t="str">
        <f t="shared" ref="E1189" si="76">IF(OR(B1189="",C1189="",D1189=""),"",IF(D1189="上升","持仓",IF(AND(B1189="减弱",C1189="贵"),"空仓",IF(AND(B1189="减弱",C1189="中性"),"空仓",IF(AND(B1189="改善",C1189="贵"),"空仓",IF(B1189="滞后","空仓","持仓"))))))</f>
        <v>持仓</v>
      </c>
      <c r="I1189" s="1">
        <f>价格指标计算!B1189</f>
        <v>1.8906000000000001</v>
      </c>
      <c r="J1189" s="1">
        <f>价格指标计算!Q1189</f>
        <v>1.0999999999999999E-2</v>
      </c>
      <c r="K1189" s="1">
        <f>RRG趋势计算!D1188</f>
        <v>0.59445664839661294</v>
      </c>
      <c r="L1189" s="1">
        <f>RRG趋势计算!G1188</f>
        <v>0.22994035750145692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2026-10-09T00:50:55Z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