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34374555-6088-4090-AFAE-09E6BC4ED51A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84" i="8" l="1"/>
  <c r="B1184" i="8"/>
  <c r="E1184" i="8" s="1"/>
  <c r="C1184" i="8"/>
  <c r="D1184" i="8"/>
  <c r="I1184" i="8"/>
  <c r="J1184" i="8"/>
  <c r="K1184" i="8"/>
  <c r="L1184" i="8"/>
  <c r="A1184" i="7"/>
  <c r="B1184" i="7"/>
  <c r="C1184" i="7"/>
  <c r="F1184" i="7" s="1"/>
  <c r="D1184" i="7"/>
  <c r="E1184" i="7"/>
  <c r="G1184" i="7" s="1"/>
  <c r="H1184" i="7"/>
  <c r="I1184" i="7" s="1"/>
  <c r="O1184" i="7"/>
  <c r="A1183" i="6"/>
  <c r="B1183" i="6"/>
  <c r="C1183" i="6" s="1"/>
  <c r="H1183" i="5"/>
  <c r="I1183" i="5"/>
  <c r="A1183" i="4"/>
  <c r="A1183" i="7"/>
  <c r="B1183" i="7"/>
  <c r="I1183" i="8" s="1"/>
  <c r="A1182" i="4"/>
  <c r="A1182" i="6" s="1"/>
  <c r="A1183" i="8" s="1"/>
  <c r="H1182" i="5"/>
  <c r="H1183" i="7" s="1"/>
  <c r="I1182" i="5"/>
  <c r="A1182" i="7"/>
  <c r="B1182" i="7"/>
  <c r="A1181" i="4"/>
  <c r="A1181" i="6" s="1"/>
  <c r="A1182" i="8" s="1"/>
  <c r="H1181" i="5"/>
  <c r="H1182" i="7" s="1"/>
  <c r="I1181" i="5"/>
  <c r="A1180" i="7"/>
  <c r="B1180" i="7"/>
  <c r="A1181" i="7"/>
  <c r="B1181" i="7"/>
  <c r="I1181" i="8" s="1"/>
  <c r="A1179" i="4"/>
  <c r="A1179" i="6" s="1"/>
  <c r="A1180" i="8" s="1"/>
  <c r="A1180" i="4"/>
  <c r="A1180" i="6" s="1"/>
  <c r="A1181" i="8" s="1"/>
  <c r="H1179" i="5"/>
  <c r="H1180" i="7" s="1"/>
  <c r="I1179" i="5"/>
  <c r="H1180" i="5"/>
  <c r="H1181" i="7" s="1"/>
  <c r="I1180" i="5"/>
  <c r="A1179" i="7"/>
  <c r="B1179" i="7"/>
  <c r="I1179" i="8" s="1"/>
  <c r="H1178" i="5"/>
  <c r="H1179" i="7" s="1"/>
  <c r="I1178" i="5"/>
  <c r="A1178" i="4"/>
  <c r="A1178" i="6" s="1"/>
  <c r="A1179" i="8" s="1"/>
  <c r="A1178" i="7"/>
  <c r="B1178" i="7"/>
  <c r="I1178" i="8" s="1"/>
  <c r="H1177" i="5"/>
  <c r="H1178" i="7" s="1"/>
  <c r="I1177" i="5"/>
  <c r="A1177" i="4"/>
  <c r="A1177" i="6" s="1"/>
  <c r="A1178" i="8" s="1"/>
  <c r="A1177" i="7"/>
  <c r="B1177" i="7"/>
  <c r="I1177" i="8" s="1"/>
  <c r="A1176" i="4"/>
  <c r="A1176" i="6" s="1"/>
  <c r="A1177" i="8" s="1"/>
  <c r="H1176" i="5"/>
  <c r="H1177" i="7" s="1"/>
  <c r="I1176" i="5"/>
  <c r="A1176" i="7"/>
  <c r="B1176" i="7"/>
  <c r="I1176" i="8" s="1"/>
  <c r="A1175" i="4"/>
  <c r="A1175" i="6" s="1"/>
  <c r="A1176" i="8" s="1"/>
  <c r="H1175" i="5"/>
  <c r="H1176" i="7" s="1"/>
  <c r="I1175" i="5"/>
  <c r="A1175" i="7"/>
  <c r="B1175" i="7"/>
  <c r="A1174" i="4"/>
  <c r="A1174" i="6" s="1"/>
  <c r="A1175" i="8" s="1"/>
  <c r="H1174" i="5"/>
  <c r="H1175" i="7" s="1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83" i="4"/>
  <c r="C1183" i="4"/>
  <c r="D1183" i="4"/>
  <c r="E1183" i="4"/>
  <c r="F1183" i="4"/>
  <c r="G1183" i="4"/>
  <c r="C1178" i="4"/>
  <c r="D1182" i="4"/>
  <c r="C1181" i="4"/>
  <c r="G1178" i="4"/>
  <c r="E1178" i="4"/>
  <c r="B1177" i="4"/>
  <c r="G1180" i="4"/>
  <c r="E1182" i="4"/>
  <c r="D1179" i="4"/>
  <c r="E1181" i="4"/>
  <c r="E1180" i="4"/>
  <c r="B1178" i="4"/>
  <c r="F1182" i="4"/>
  <c r="F1178" i="4"/>
  <c r="D1178" i="4"/>
  <c r="G1181" i="4"/>
  <c r="B1181" i="4"/>
  <c r="G1182" i="4"/>
  <c r="F1179" i="4"/>
  <c r="G1177" i="4"/>
  <c r="E1177" i="4"/>
  <c r="D1181" i="4"/>
  <c r="C1177" i="4"/>
  <c r="F1180" i="4"/>
  <c r="E1179" i="4"/>
  <c r="D1177" i="4"/>
  <c r="C1182" i="4"/>
  <c r="C1180" i="4"/>
  <c r="B1182" i="4"/>
  <c r="F1177" i="4"/>
  <c r="D1180" i="4"/>
  <c r="F1181" i="4"/>
  <c r="G1179" i="4"/>
  <c r="B1179" i="4"/>
  <c r="B1180" i="4"/>
  <c r="C1179" i="4"/>
  <c r="P1184" i="7" l="1"/>
  <c r="Q1184" i="7" s="1"/>
  <c r="R1184" i="7" s="1"/>
  <c r="J1184" i="7"/>
  <c r="K1184" i="7" s="1"/>
  <c r="D1183" i="6"/>
  <c r="I1183" i="4"/>
  <c r="H1183" i="4"/>
  <c r="D1183" i="7"/>
  <c r="C1183" i="7"/>
  <c r="F1183" i="7" s="1"/>
  <c r="I1183" i="7"/>
  <c r="J1183" i="7"/>
  <c r="K1183" i="7" s="1"/>
  <c r="I1182" i="4"/>
  <c r="H1182" i="4"/>
  <c r="C1182" i="7"/>
  <c r="D1182" i="7"/>
  <c r="I1182" i="7"/>
  <c r="I1182" i="8"/>
  <c r="J1182" i="7"/>
  <c r="I1181" i="4"/>
  <c r="H1181" i="4"/>
  <c r="I1180" i="7"/>
  <c r="D1180" i="7"/>
  <c r="C1180" i="7"/>
  <c r="I1180" i="8"/>
  <c r="D1181" i="7"/>
  <c r="C1181" i="7"/>
  <c r="J1181" i="7"/>
  <c r="I1181" i="7"/>
  <c r="J1180" i="7"/>
  <c r="L1180" i="7" s="1"/>
  <c r="I1180" i="4"/>
  <c r="I1179" i="4"/>
  <c r="H1180" i="4"/>
  <c r="H1179" i="4"/>
  <c r="I1179" i="7"/>
  <c r="D1179" i="7"/>
  <c r="C1179" i="7"/>
  <c r="J1179" i="7"/>
  <c r="I1178" i="4"/>
  <c r="H1178" i="4"/>
  <c r="I1178" i="7"/>
  <c r="C1178" i="7"/>
  <c r="D1178" i="7"/>
  <c r="J1178" i="7"/>
  <c r="I1177" i="4"/>
  <c r="H1177" i="4"/>
  <c r="I1177" i="7"/>
  <c r="D1177" i="7"/>
  <c r="C1177" i="7"/>
  <c r="J1177" i="7"/>
  <c r="I1176" i="7"/>
  <c r="D1176" i="7"/>
  <c r="C1176" i="7"/>
  <c r="J1176" i="7"/>
  <c r="I1175" i="7"/>
  <c r="J1175" i="7"/>
  <c r="C1175" i="7"/>
  <c r="I1175" i="8"/>
  <c r="D1175" i="7"/>
  <c r="D1174" i="7"/>
  <c r="I1174" i="7"/>
  <c r="C1174" i="7"/>
  <c r="J1174" i="7"/>
  <c r="J1173" i="7"/>
  <c r="C1173" i="7"/>
  <c r="I1173" i="7"/>
  <c r="D1173" i="7"/>
  <c r="I1173" i="8"/>
  <c r="D1172" i="7"/>
  <c r="C1172" i="7"/>
  <c r="I1172" i="7"/>
  <c r="J1172" i="7"/>
  <c r="I1171" i="7"/>
  <c r="C1171" i="7"/>
  <c r="I1171" i="8"/>
  <c r="D1171" i="7"/>
  <c r="J1171" i="7"/>
  <c r="I1170" i="7"/>
  <c r="D1170" i="7"/>
  <c r="C1170" i="7"/>
  <c r="J1170" i="7"/>
  <c r="I1169" i="7"/>
  <c r="D1169" i="7"/>
  <c r="C1169" i="7"/>
  <c r="J1169" i="7"/>
  <c r="I1168" i="8"/>
  <c r="I1165" i="8"/>
  <c r="I1161" i="8"/>
  <c r="I1157" i="8"/>
  <c r="I1154" i="8"/>
  <c r="I1145" i="8"/>
  <c r="I1140" i="8"/>
  <c r="I1139" i="8"/>
  <c r="I1137" i="8"/>
  <c r="I1135" i="8"/>
  <c r="I1133" i="8"/>
  <c r="I1132" i="8"/>
  <c r="I1128" i="8"/>
  <c r="I1127" i="8"/>
  <c r="I1123" i="8"/>
  <c r="I1121" i="8"/>
  <c r="I1116" i="8"/>
  <c r="I1114" i="8"/>
  <c r="I1112" i="8"/>
  <c r="B1109" i="7"/>
  <c r="O1167" i="7" s="1"/>
  <c r="H1108" i="5"/>
  <c r="H1109" i="7" s="1"/>
  <c r="I1167" i="7" s="1"/>
  <c r="O1108" i="7"/>
  <c r="C1108" i="7"/>
  <c r="D1108" i="7"/>
  <c r="F10" i="8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1175" i="4"/>
  <c r="E1120" i="4"/>
  <c r="E1109" i="4"/>
  <c r="F1155" i="4"/>
  <c r="C3" i="4"/>
  <c r="D1159" i="4"/>
  <c r="F1171" i="4"/>
  <c r="D1117" i="4"/>
  <c r="B1140" i="4"/>
  <c r="E1151" i="4"/>
  <c r="B1109" i="4"/>
  <c r="C1130" i="4"/>
  <c r="E1174" i="4"/>
  <c r="G1155" i="4"/>
  <c r="D1119" i="4"/>
  <c r="D1176" i="4"/>
  <c r="D1155" i="4"/>
  <c r="C1111" i="4"/>
  <c r="B1160" i="4"/>
  <c r="C1139" i="4"/>
  <c r="E1133" i="4"/>
  <c r="G1138" i="4"/>
  <c r="E1118" i="4"/>
  <c r="D1132" i="4"/>
  <c r="G1174" i="4"/>
  <c r="E1121" i="4"/>
  <c r="C1169" i="4"/>
  <c r="E1149" i="4"/>
  <c r="D1124" i="4"/>
  <c r="F1141" i="4"/>
  <c r="G1150" i="4"/>
  <c r="C1176" i="4"/>
  <c r="D1131" i="4"/>
  <c r="C1132" i="4"/>
  <c r="B1108" i="4"/>
  <c r="C1152" i="4"/>
  <c r="G1132" i="4"/>
  <c r="E1161" i="4"/>
  <c r="G1125" i="4"/>
  <c r="D1114" i="4"/>
  <c r="E1165" i="4"/>
  <c r="G1166" i="4"/>
  <c r="F1115" i="4"/>
  <c r="G1149" i="4"/>
  <c r="F1135" i="4"/>
  <c r="B1151" i="4"/>
  <c r="E1154" i="4"/>
  <c r="G1141" i="4"/>
  <c r="D1142" i="4"/>
  <c r="G1169" i="4"/>
  <c r="G1121" i="4"/>
  <c r="B1129" i="4"/>
  <c r="D1126" i="4"/>
  <c r="C1144" i="4"/>
  <c r="F1156" i="4"/>
  <c r="D1116" i="4"/>
  <c r="B1175" i="4"/>
  <c r="C1171" i="4"/>
  <c r="E1166" i="4"/>
  <c r="E1119" i="4"/>
  <c r="C1151" i="4"/>
  <c r="D1162" i="4"/>
  <c r="F1161" i="4"/>
  <c r="E1162" i="4"/>
  <c r="D1125" i="4"/>
  <c r="D1163" i="4"/>
  <c r="F3" i="4"/>
  <c r="D1123" i="4"/>
  <c r="E1158" i="4"/>
  <c r="G1161" i="4"/>
  <c r="E1115" i="4"/>
  <c r="F1133" i="4"/>
  <c r="G1164" i="4"/>
  <c r="G1160" i="4"/>
  <c r="E1159" i="4"/>
  <c r="C1173" i="4"/>
  <c r="B1106" i="4"/>
  <c r="E1145" i="4"/>
  <c r="E1148" i="4"/>
  <c r="C1118" i="4"/>
  <c r="B1152" i="4"/>
  <c r="F1138" i="4"/>
  <c r="D1133" i="4"/>
  <c r="G1158" i="4"/>
  <c r="E1128" i="4"/>
  <c r="G4" i="4"/>
  <c r="F1152" i="4"/>
  <c r="E1105" i="4"/>
  <c r="F1122" i="4"/>
  <c r="F1165" i="4"/>
  <c r="B1141" i="4"/>
  <c r="B1110" i="4"/>
  <c r="C1156" i="4"/>
  <c r="B1161" i="4"/>
  <c r="B1125" i="4"/>
  <c r="D1109" i="4"/>
  <c r="G1112" i="4"/>
  <c r="E1139" i="4"/>
  <c r="F1159" i="4"/>
  <c r="C1148" i="4"/>
  <c r="E1112" i="4"/>
  <c r="C1160" i="4"/>
  <c r="D1112" i="4"/>
  <c r="F1144" i="4"/>
  <c r="B1138" i="4"/>
  <c r="G1152" i="4"/>
  <c r="E1107" i="4"/>
  <c r="F1125" i="4"/>
  <c r="F1131" i="4"/>
  <c r="E1163" i="4"/>
  <c r="B1119" i="4"/>
  <c r="F1113" i="4"/>
  <c r="E1135" i="4"/>
  <c r="G1117" i="4"/>
  <c r="C1105" i="4"/>
  <c r="E4" i="4"/>
  <c r="G1118" i="4"/>
  <c r="E1138" i="4"/>
  <c r="C1150" i="4"/>
  <c r="C1167" i="4"/>
  <c r="G1140" i="4"/>
  <c r="D1166" i="4"/>
  <c r="G1120" i="4"/>
  <c r="B1169" i="4"/>
  <c r="G1137" i="4"/>
  <c r="D1147" i="4"/>
  <c r="E1146" i="4"/>
  <c r="B1118" i="4"/>
  <c r="G1116" i="4"/>
  <c r="D1115" i="4"/>
  <c r="D1134" i="4"/>
  <c r="G1133" i="4"/>
  <c r="G1172" i="4"/>
  <c r="G1124" i="4"/>
  <c r="C1155" i="4"/>
  <c r="B1122" i="4"/>
  <c r="B1132" i="4"/>
  <c r="F1136" i="4"/>
  <c r="C1127" i="4"/>
  <c r="C1141" i="4"/>
  <c r="C1174" i="4"/>
  <c r="C1157" i="4"/>
  <c r="G1168" i="4"/>
  <c r="F1127" i="4"/>
  <c r="D1139" i="4"/>
  <c r="F1166" i="4"/>
  <c r="F1173" i="4"/>
  <c r="E1108" i="4"/>
  <c r="F1154" i="4"/>
  <c r="G1156" i="4"/>
  <c r="E1122" i="4"/>
  <c r="C1138" i="4"/>
  <c r="B1165" i="4"/>
  <c r="E1150" i="4"/>
  <c r="F1169" i="4"/>
  <c r="D1121" i="4"/>
  <c r="F1170" i="4"/>
  <c r="F1111" i="4"/>
  <c r="E1175" i="4"/>
  <c r="C1113" i="4"/>
  <c r="D1172" i="4"/>
  <c r="F1145" i="4"/>
  <c r="D1135" i="4"/>
  <c r="F1148" i="4"/>
  <c r="G1144" i="4"/>
  <c r="B1144" i="4"/>
  <c r="E1155" i="4"/>
  <c r="D1149" i="4"/>
  <c r="D1164" i="4"/>
  <c r="C1168" i="4"/>
  <c r="F1108" i="4"/>
  <c r="D1127" i="4"/>
  <c r="D1105" i="4"/>
  <c r="G1146" i="4"/>
  <c r="C1164" i="4"/>
  <c r="E1173" i="4"/>
  <c r="G1171" i="4"/>
  <c r="D1107" i="4"/>
  <c r="E1106" i="4"/>
  <c r="D1138" i="4"/>
  <c r="G1165" i="4"/>
  <c r="F1163" i="4"/>
  <c r="G1122" i="4"/>
  <c r="D1158" i="4"/>
  <c r="D3" i="4"/>
  <c r="C1134" i="4"/>
  <c r="F1149" i="4"/>
  <c r="G1154" i="4"/>
  <c r="F1105" i="4"/>
  <c r="E1160" i="4"/>
  <c r="C1159" i="4"/>
  <c r="B1166" i="4"/>
  <c r="C1165" i="4"/>
  <c r="F1118" i="4"/>
  <c r="F1124" i="4"/>
  <c r="E1131" i="4"/>
  <c r="D1118" i="4"/>
  <c r="F1146" i="4"/>
  <c r="B1168" i="4"/>
  <c r="C1131" i="4"/>
  <c r="F1157" i="4"/>
  <c r="D1145" i="4"/>
  <c r="E1142" i="4"/>
  <c r="B1130" i="4"/>
  <c r="G1145" i="4"/>
  <c r="G1106" i="4"/>
  <c r="B1143" i="4"/>
  <c r="G1157" i="4"/>
  <c r="B1134" i="4"/>
  <c r="F1106" i="4"/>
  <c r="F1116" i="4"/>
  <c r="C1129" i="4"/>
  <c r="B1127" i="4"/>
  <c r="C1126" i="4"/>
  <c r="C1117" i="4"/>
  <c r="E1127" i="4"/>
  <c r="D1143" i="4"/>
  <c r="G1147" i="4"/>
  <c r="B1167" i="4"/>
  <c r="F1130" i="4"/>
  <c r="E1169" i="4"/>
  <c r="C1124" i="4"/>
  <c r="G1127" i="4"/>
  <c r="C1122" i="4"/>
  <c r="F1172" i="4"/>
  <c r="F1160" i="4"/>
  <c r="B1124" i="4"/>
  <c r="G1167" i="4"/>
  <c r="C1108" i="4"/>
  <c r="C1154" i="4"/>
  <c r="D1150" i="4"/>
  <c r="C1121" i="4"/>
  <c r="D1161" i="4"/>
  <c r="G1136" i="4"/>
  <c r="D1110" i="4"/>
  <c r="E1136" i="4"/>
  <c r="F1140" i="4"/>
  <c r="D1136" i="4"/>
  <c r="G1159" i="4"/>
  <c r="G1143" i="4"/>
  <c r="B1121" i="4"/>
  <c r="C1112" i="4"/>
  <c r="B1147" i="4"/>
  <c r="F1134" i="4"/>
  <c r="B1176" i="4"/>
  <c r="C1163" i="4"/>
  <c r="D1137" i="4"/>
  <c r="F1119" i="4"/>
  <c r="F1153" i="4"/>
  <c r="B1171" i="4"/>
  <c r="E1132" i="4"/>
  <c r="B1146" i="4"/>
  <c r="F1117" i="4"/>
  <c r="F1132" i="4"/>
  <c r="B1139" i="4"/>
  <c r="G1142" i="4"/>
  <c r="B1137" i="4"/>
  <c r="D1174" i="4"/>
  <c r="F1128" i="4"/>
  <c r="B1170" i="4"/>
  <c r="C1136" i="4"/>
  <c r="B1162" i="4"/>
  <c r="C1147" i="4"/>
  <c r="E1167" i="4"/>
  <c r="G1128" i="4"/>
  <c r="E1147" i="4"/>
  <c r="D1160" i="4"/>
  <c r="C1146" i="4"/>
  <c r="D1165" i="4"/>
  <c r="C1106" i="4"/>
  <c r="C1149" i="4"/>
  <c r="E1140" i="4"/>
  <c r="C1162" i="4"/>
  <c r="C1161" i="4"/>
  <c r="G1111" i="4"/>
  <c r="D1168" i="4"/>
  <c r="B1172" i="4"/>
  <c r="C1123" i="4"/>
  <c r="G1109" i="4"/>
  <c r="B1126" i="4"/>
  <c r="E1123" i="4"/>
  <c r="D1120" i="4"/>
  <c r="C1137" i="4"/>
  <c r="F1114" i="4"/>
  <c r="B1115" i="4"/>
  <c r="G1123" i="4"/>
  <c r="F1168" i="4"/>
  <c r="D1154" i="4"/>
  <c r="F4" i="4"/>
  <c r="D1140" i="4"/>
  <c r="B1159" i="4"/>
  <c r="D1106" i="4"/>
  <c r="E1116" i="4"/>
  <c r="C1116" i="4"/>
  <c r="F1120" i="4"/>
  <c r="G1108" i="4"/>
  <c r="C1166" i="4"/>
  <c r="G1151" i="4"/>
  <c r="E1168" i="4"/>
  <c r="D1111" i="4"/>
  <c r="D1169" i="4"/>
  <c r="B1174" i="4"/>
  <c r="F1147" i="4"/>
  <c r="G3" i="4"/>
  <c r="E1125" i="4"/>
  <c r="G1113" i="4"/>
  <c r="F1158" i="4"/>
  <c r="C1114" i="4"/>
  <c r="A1" i="5"/>
  <c r="E1126" i="4"/>
  <c r="B1164" i="4"/>
  <c r="E1170" i="4"/>
  <c r="G1135" i="4"/>
  <c r="G1153" i="4"/>
  <c r="D1130" i="4"/>
  <c r="C1142" i="4"/>
  <c r="F1143" i="4"/>
  <c r="B1153" i="4"/>
  <c r="B1156" i="4"/>
  <c r="F1121" i="4"/>
  <c r="F1123" i="4"/>
  <c r="E1164" i="4"/>
  <c r="B1145" i="4"/>
  <c r="D1152" i="4"/>
  <c r="C1143" i="4"/>
  <c r="D1141" i="4"/>
  <c r="F1107" i="4"/>
  <c r="G1119" i="4"/>
  <c r="B1116" i="4"/>
  <c r="G1162" i="4"/>
  <c r="F1151" i="4"/>
  <c r="D1156" i="4"/>
  <c r="F1167" i="4"/>
  <c r="D1122" i="4"/>
  <c r="E1117" i="4"/>
  <c r="G1129" i="4"/>
  <c r="B1117" i="4"/>
  <c r="C1153" i="4"/>
  <c r="C1172" i="4"/>
  <c r="C1175" i="4"/>
  <c r="D1146" i="4"/>
  <c r="C1120" i="4"/>
  <c r="B1120" i="4"/>
  <c r="D1113" i="4"/>
  <c r="E1111" i="4"/>
  <c r="F1129" i="4"/>
  <c r="B1123" i="4"/>
  <c r="C1133" i="4"/>
  <c r="B1142" i="4"/>
  <c r="D1129" i="4"/>
  <c r="B1149" i="4"/>
  <c r="E1114" i="4"/>
  <c r="F1126" i="4"/>
  <c r="G1148" i="4"/>
  <c r="G1105" i="4"/>
  <c r="B1111" i="4"/>
  <c r="B4" i="4"/>
  <c r="B3" i="4"/>
  <c r="E1152" i="4"/>
  <c r="G1139" i="4"/>
  <c r="C1115" i="4"/>
  <c r="E1171" i="4"/>
  <c r="B1131" i="4"/>
  <c r="D1167" i="4"/>
  <c r="C4" i="4"/>
  <c r="B1105" i="4"/>
  <c r="F1162" i="4"/>
  <c r="E3" i="4"/>
  <c r="E1129" i="4"/>
  <c r="G1130" i="4"/>
  <c r="G1176" i="4"/>
  <c r="F1142" i="4"/>
  <c r="E1156" i="4"/>
  <c r="F1137" i="4"/>
  <c r="F1174" i="4"/>
  <c r="G1170" i="4"/>
  <c r="B1150" i="4"/>
  <c r="E1124" i="4"/>
  <c r="E1110" i="4"/>
  <c r="E1153" i="4"/>
  <c r="F1150" i="4"/>
  <c r="D1171" i="4"/>
  <c r="B1155" i="4"/>
  <c r="D1173" i="4"/>
  <c r="G1114" i="4"/>
  <c r="B1148" i="4"/>
  <c r="D1170" i="4"/>
  <c r="B1114" i="4"/>
  <c r="F1110" i="4"/>
  <c r="F1139" i="4"/>
  <c r="E1172" i="4"/>
  <c r="C1109" i="4"/>
  <c r="D1144" i="4"/>
  <c r="B1136" i="4"/>
  <c r="B1173" i="4"/>
  <c r="C1110" i="4"/>
  <c r="E1134" i="4"/>
  <c r="G1131" i="4"/>
  <c r="F1164" i="4"/>
  <c r="G1110" i="4"/>
  <c r="E1157" i="4"/>
  <c r="E1113" i="4"/>
  <c r="B1157" i="4"/>
  <c r="E1176" i="4"/>
  <c r="F1112" i="4"/>
  <c r="E1141" i="4"/>
  <c r="G1107" i="4"/>
  <c r="C1128" i="4"/>
  <c r="B1158" i="4"/>
  <c r="B1135" i="4"/>
  <c r="C1145" i="4"/>
  <c r="G1115" i="4"/>
  <c r="C1158" i="4"/>
  <c r="G1173" i="4"/>
  <c r="B1133" i="4"/>
  <c r="E1143" i="4"/>
  <c r="E1144" i="4"/>
  <c r="C1170" i="4"/>
  <c r="B1154" i="4"/>
  <c r="B1128" i="4"/>
  <c r="C1135" i="4"/>
  <c r="G1126" i="4"/>
  <c r="F1176" i="4"/>
  <c r="G1134" i="4"/>
  <c r="B1113" i="4"/>
  <c r="F1109" i="4"/>
  <c r="G1163" i="4"/>
  <c r="B1163" i="4"/>
  <c r="D1157" i="4"/>
  <c r="D1148" i="4"/>
  <c r="D1153" i="4"/>
  <c r="D1108" i="4"/>
  <c r="D1175" i="4"/>
  <c r="F1175" i="4"/>
  <c r="D4" i="4"/>
  <c r="B1107" i="4"/>
  <c r="C1125" i="4"/>
  <c r="C1107" i="4"/>
  <c r="E1137" i="4"/>
  <c r="D1128" i="4"/>
  <c r="D1151" i="4"/>
  <c r="C1140" i="4"/>
  <c r="E1130" i="4"/>
  <c r="C1119" i="4"/>
  <c r="B1112" i="4"/>
  <c r="M1184" i="7" l="1"/>
  <c r="N1184" i="7" s="1"/>
  <c r="L1184" i="7"/>
  <c r="E1183" i="6"/>
  <c r="F1183" i="6" s="1"/>
  <c r="G1183" i="6"/>
  <c r="H1183" i="6"/>
  <c r="P1183" i="7"/>
  <c r="E1183" i="7"/>
  <c r="G1183" i="7" s="1"/>
  <c r="F1182" i="7"/>
  <c r="O1183" i="7"/>
  <c r="B1182" i="6"/>
  <c r="L1183" i="7"/>
  <c r="M1183" i="7" s="1"/>
  <c r="L1182" i="7"/>
  <c r="E1182" i="7"/>
  <c r="P1182" i="7"/>
  <c r="K1182" i="7"/>
  <c r="F1180" i="7"/>
  <c r="F419" i="7"/>
  <c r="O1182" i="7"/>
  <c r="B1181" i="6"/>
  <c r="K1179" i="7"/>
  <c r="E1180" i="7"/>
  <c r="B1180" i="6"/>
  <c r="O1180" i="7"/>
  <c r="P1181" i="7"/>
  <c r="O1181" i="7"/>
  <c r="P1180" i="7"/>
  <c r="K1180" i="7"/>
  <c r="M1180" i="7" s="1"/>
  <c r="B1179" i="6"/>
  <c r="K1181" i="7"/>
  <c r="L1181" i="7"/>
  <c r="F1181" i="7"/>
  <c r="E1181" i="7"/>
  <c r="F1179" i="7"/>
  <c r="K1178" i="7"/>
  <c r="P1179" i="7"/>
  <c r="E1179" i="7"/>
  <c r="O1179" i="7"/>
  <c r="B1178" i="6"/>
  <c r="L1179" i="7"/>
  <c r="P1178" i="7"/>
  <c r="F1178" i="7"/>
  <c r="F1018" i="7"/>
  <c r="F1082" i="7"/>
  <c r="E1178" i="7"/>
  <c r="O1178" i="7"/>
  <c r="B1177" i="6"/>
  <c r="L1178" i="7"/>
  <c r="K1177" i="7"/>
  <c r="P1177" i="7"/>
  <c r="E1175" i="7"/>
  <c r="E1177" i="7"/>
  <c r="F1177" i="7"/>
  <c r="O1177" i="7"/>
  <c r="H1127" i="4"/>
  <c r="H1124" i="4"/>
  <c r="H1139" i="4"/>
  <c r="H1111" i="4"/>
  <c r="H1174" i="4"/>
  <c r="H1152" i="4"/>
  <c r="I1170" i="4"/>
  <c r="I1135" i="4"/>
  <c r="I1123" i="4"/>
  <c r="H1170" i="4"/>
  <c r="H1120" i="4"/>
  <c r="H1117" i="4"/>
  <c r="H1147" i="4"/>
  <c r="I1172" i="4"/>
  <c r="H1173" i="4"/>
  <c r="H1168" i="4"/>
  <c r="I1117" i="4"/>
  <c r="I1114" i="4"/>
  <c r="H1128" i="4"/>
  <c r="I1156" i="4"/>
  <c r="H1165" i="4"/>
  <c r="H1154" i="4"/>
  <c r="H1108" i="4"/>
  <c r="I1112" i="4"/>
  <c r="H1156" i="4"/>
  <c r="H1160" i="4"/>
  <c r="H1109" i="4"/>
  <c r="H1131" i="4"/>
  <c r="I1175" i="4"/>
  <c r="I1109" i="4"/>
  <c r="I1108" i="4"/>
  <c r="B1108" i="6" s="1"/>
  <c r="I1141" i="4"/>
  <c r="I1125" i="4"/>
  <c r="I1171" i="4"/>
  <c r="I1131" i="4"/>
  <c r="H1105" i="4"/>
  <c r="I1166" i="4"/>
  <c r="I1161" i="4"/>
  <c r="H1137" i="4"/>
  <c r="I1147" i="4"/>
  <c r="H1112" i="4"/>
  <c r="I1120" i="4"/>
  <c r="H1161" i="4"/>
  <c r="H1153" i="4"/>
  <c r="I1121" i="4"/>
  <c r="H1143" i="4"/>
  <c r="H1129" i="4"/>
  <c r="I1176" i="4"/>
  <c r="I1111" i="4"/>
  <c r="I1157" i="4"/>
  <c r="I1106" i="4"/>
  <c r="I1145" i="4"/>
  <c r="I1115" i="4"/>
  <c r="I1139" i="4"/>
  <c r="H1113" i="4"/>
  <c r="H1157" i="4"/>
  <c r="I1151" i="4"/>
  <c r="I1153" i="4"/>
  <c r="H1140" i="4"/>
  <c r="H1171" i="4"/>
  <c r="I1136" i="4"/>
  <c r="I1116" i="4"/>
  <c r="I1118" i="4"/>
  <c r="I1158" i="4"/>
  <c r="I1129" i="4"/>
  <c r="H1138" i="4"/>
  <c r="H1163" i="4"/>
  <c r="I1150" i="4"/>
  <c r="I1169" i="4"/>
  <c r="I1140" i="4"/>
  <c r="H1136" i="4"/>
  <c r="H1155" i="4"/>
  <c r="H1146" i="4"/>
  <c r="H1144" i="4"/>
  <c r="H1169" i="4"/>
  <c r="H1150" i="4"/>
  <c r="I1132" i="4"/>
  <c r="I1159" i="4"/>
  <c r="I1164" i="4"/>
  <c r="H1106" i="4"/>
  <c r="I1133" i="4"/>
  <c r="H1132" i="4"/>
  <c r="I1119" i="4"/>
  <c r="I1163" i="4"/>
  <c r="I1138" i="4"/>
  <c r="I1149" i="4"/>
  <c r="I1168" i="4"/>
  <c r="I1127" i="4"/>
  <c r="H1142" i="4"/>
  <c r="I1110" i="4"/>
  <c r="I1146" i="4"/>
  <c r="H1175" i="4"/>
  <c r="I1154" i="4"/>
  <c r="I1148" i="4"/>
  <c r="H1119" i="4"/>
  <c r="H1121" i="4"/>
  <c r="H1151" i="4"/>
  <c r="H1166" i="4"/>
  <c r="I1105" i="4"/>
  <c r="I1113" i="4"/>
  <c r="I1137" i="4"/>
  <c r="H1115" i="4"/>
  <c r="H1125" i="4"/>
  <c r="H1158" i="4"/>
  <c r="H1159" i="4"/>
  <c r="H1126" i="4"/>
  <c r="H1148" i="4"/>
  <c r="H1118" i="4"/>
  <c r="H1110" i="4"/>
  <c r="I1130" i="4"/>
  <c r="H1130" i="4"/>
  <c r="I1167" i="4"/>
  <c r="I1173" i="4"/>
  <c r="H1135" i="4"/>
  <c r="I1128" i="4"/>
  <c r="B1128" i="6" s="1"/>
  <c r="H1167" i="4"/>
  <c r="H1176" i="4"/>
  <c r="H1122" i="4"/>
  <c r="H1123" i="4"/>
  <c r="I1107" i="4"/>
  <c r="H1162" i="4"/>
  <c r="H1141" i="4"/>
  <c r="I1174" i="4"/>
  <c r="I1142" i="4"/>
  <c r="I1124" i="4"/>
  <c r="H1114" i="4"/>
  <c r="I1160" i="4"/>
  <c r="H1116" i="4"/>
  <c r="H1172" i="4"/>
  <c r="I1165" i="4"/>
  <c r="H1164" i="4"/>
  <c r="H1149" i="4"/>
  <c r="I1162" i="4"/>
  <c r="H1133" i="4"/>
  <c r="I1134" i="4"/>
  <c r="I1144" i="4"/>
  <c r="I1155" i="4"/>
  <c r="I1126" i="4"/>
  <c r="B1126" i="6" s="1"/>
  <c r="I1122" i="4"/>
  <c r="I1143" i="4"/>
  <c r="I1152" i="4"/>
  <c r="H1134" i="4"/>
  <c r="H1145" i="4"/>
  <c r="H1107" i="4"/>
  <c r="L1177" i="7"/>
  <c r="K1176" i="7"/>
  <c r="F1176" i="7"/>
  <c r="K1175" i="7"/>
  <c r="P1176" i="7"/>
  <c r="E1176" i="7"/>
  <c r="O1176" i="7"/>
  <c r="L1176" i="7"/>
  <c r="P1175" i="7"/>
  <c r="L1175" i="7"/>
  <c r="O1175" i="7"/>
  <c r="F1175" i="7"/>
  <c r="L1174" i="7"/>
  <c r="P1174" i="7"/>
  <c r="K1174" i="7"/>
  <c r="F1173" i="7"/>
  <c r="E1174" i="7"/>
  <c r="F1174" i="7"/>
  <c r="O1174" i="7"/>
  <c r="L1173" i="7"/>
  <c r="P1173" i="7"/>
  <c r="O1173" i="7"/>
  <c r="E1173" i="7"/>
  <c r="K1173" i="7"/>
  <c r="F1172" i="7"/>
  <c r="K1172" i="7"/>
  <c r="P1172" i="7"/>
  <c r="L1172" i="7"/>
  <c r="E1172" i="7"/>
  <c r="O1172" i="7"/>
  <c r="K1171" i="7"/>
  <c r="E1171" i="7"/>
  <c r="F1170" i="7"/>
  <c r="P1171" i="7"/>
  <c r="O1171" i="7"/>
  <c r="F1171" i="7"/>
  <c r="L1171" i="7"/>
  <c r="K1170" i="7"/>
  <c r="L1170" i="7"/>
  <c r="P1170" i="7"/>
  <c r="E1170" i="7"/>
  <c r="O1170" i="7"/>
  <c r="K1169" i="7"/>
  <c r="P1169" i="7"/>
  <c r="F1169" i="7"/>
  <c r="E1169" i="7"/>
  <c r="O1169" i="7"/>
  <c r="L1169" i="7"/>
  <c r="J1163" i="7"/>
  <c r="C1168" i="7"/>
  <c r="P1168" i="7"/>
  <c r="J1168" i="7"/>
  <c r="D1168" i="7"/>
  <c r="O1168" i="7"/>
  <c r="I1168" i="7"/>
  <c r="O1166" i="7"/>
  <c r="P1167" i="7"/>
  <c r="Q1167" i="7" s="1"/>
  <c r="R1167" i="7" s="1"/>
  <c r="C1167" i="8" s="1"/>
  <c r="J1167" i="7"/>
  <c r="K1167" i="7" s="1"/>
  <c r="C1167" i="7"/>
  <c r="D1167" i="7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P1164" i="7"/>
  <c r="I1164" i="7"/>
  <c r="J1164" i="7"/>
  <c r="D1164" i="7"/>
  <c r="C1164" i="7"/>
  <c r="O1164" i="7"/>
  <c r="I1162" i="7"/>
  <c r="P1162" i="7"/>
  <c r="J1160" i="7"/>
  <c r="P1160" i="7"/>
  <c r="P1163" i="7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P1159" i="7"/>
  <c r="J1159" i="7"/>
  <c r="D1159" i="7"/>
  <c r="I1159" i="7"/>
  <c r="C1159" i="7"/>
  <c r="J1158" i="7"/>
  <c r="P1158" i="7"/>
  <c r="P1157" i="7"/>
  <c r="I1157" i="7"/>
  <c r="J1157" i="7"/>
  <c r="O1157" i="7"/>
  <c r="I1158" i="7"/>
  <c r="C1158" i="7"/>
  <c r="O1158" i="7"/>
  <c r="D1157" i="7"/>
  <c r="D1158" i="7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J1154" i="7"/>
  <c r="P1154" i="7"/>
  <c r="O1154" i="7"/>
  <c r="I1154" i="7"/>
  <c r="D1154" i="7"/>
  <c r="C1154" i="7"/>
  <c r="O1153" i="7"/>
  <c r="P1153" i="7"/>
  <c r="I1153" i="7"/>
  <c r="J1153" i="7"/>
  <c r="O1151" i="7"/>
  <c r="D1153" i="7"/>
  <c r="I1152" i="7"/>
  <c r="P1152" i="7"/>
  <c r="J1152" i="7"/>
  <c r="D1152" i="7"/>
  <c r="O1152" i="7"/>
  <c r="C1152" i="7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O1149" i="7"/>
  <c r="I1149" i="7"/>
  <c r="P1149" i="7"/>
  <c r="D1149" i="7"/>
  <c r="J1149" i="7"/>
  <c r="C1149" i="7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P1146" i="7"/>
  <c r="I1146" i="7"/>
  <c r="O1145" i="7"/>
  <c r="O1146" i="7"/>
  <c r="J1146" i="7"/>
  <c r="D1146" i="7"/>
  <c r="C1146" i="7"/>
  <c r="O1144" i="7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I1142" i="7"/>
  <c r="P1142" i="7"/>
  <c r="J1142" i="7"/>
  <c r="C1126" i="7"/>
  <c r="D1142" i="7"/>
  <c r="C1142" i="7"/>
  <c r="O1140" i="7"/>
  <c r="O1141" i="7"/>
  <c r="I1141" i="7"/>
  <c r="P1141" i="7"/>
  <c r="J1141" i="7"/>
  <c r="D1141" i="7"/>
  <c r="C1141" i="7"/>
  <c r="I1140" i="7"/>
  <c r="P1140" i="7"/>
  <c r="C1140" i="7"/>
  <c r="J1140" i="7"/>
  <c r="D1140" i="7"/>
  <c r="O1138" i="7"/>
  <c r="O1139" i="7"/>
  <c r="J1139" i="7"/>
  <c r="P1139" i="7"/>
  <c r="O1137" i="7"/>
  <c r="C1139" i="7"/>
  <c r="I1139" i="7"/>
  <c r="D1139" i="7"/>
  <c r="I1138" i="7"/>
  <c r="P1138" i="7"/>
  <c r="J1138" i="7"/>
  <c r="C1138" i="7"/>
  <c r="D1138" i="7"/>
  <c r="P1137" i="7"/>
  <c r="D1137" i="7"/>
  <c r="I1137" i="7"/>
  <c r="J1137" i="7"/>
  <c r="C1137" i="7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I1134" i="7"/>
  <c r="O1133" i="7"/>
  <c r="O1134" i="7"/>
  <c r="P1134" i="7"/>
  <c r="J1134" i="7"/>
  <c r="D1134" i="7"/>
  <c r="C1134" i="7"/>
  <c r="I1133" i="7"/>
  <c r="P1133" i="7"/>
  <c r="J1133" i="7"/>
  <c r="D1133" i="7"/>
  <c r="C1133" i="7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I1131" i="7"/>
  <c r="P1131" i="7"/>
  <c r="J1131" i="7"/>
  <c r="C1131" i="7"/>
  <c r="D1131" i="7"/>
  <c r="P1130" i="7"/>
  <c r="I1130" i="7"/>
  <c r="O1130" i="7"/>
  <c r="J1130" i="7"/>
  <c r="D1130" i="7"/>
  <c r="C1130" i="7"/>
  <c r="I1129" i="7"/>
  <c r="P1129" i="7"/>
  <c r="O1128" i="7"/>
  <c r="D1129" i="7"/>
  <c r="J1129" i="7"/>
  <c r="O1129" i="7"/>
  <c r="C1129" i="7"/>
  <c r="D1128" i="7"/>
  <c r="I1128" i="7"/>
  <c r="P1128" i="7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J1126" i="7"/>
  <c r="P1126" i="7"/>
  <c r="D1126" i="7"/>
  <c r="I1126" i="7"/>
  <c r="I1125" i="7"/>
  <c r="P1125" i="7"/>
  <c r="J1125" i="7"/>
  <c r="C1120" i="7"/>
  <c r="D1125" i="7"/>
  <c r="C1125" i="7"/>
  <c r="I1124" i="7"/>
  <c r="P1124" i="7"/>
  <c r="J1124" i="7"/>
  <c r="D1124" i="7"/>
  <c r="C1124" i="7"/>
  <c r="O1124" i="7"/>
  <c r="O1123" i="7"/>
  <c r="O1121" i="7"/>
  <c r="O1122" i="7"/>
  <c r="I1123" i="7"/>
  <c r="P1123" i="7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C1122" i="7"/>
  <c r="P1121" i="7"/>
  <c r="D1121" i="7"/>
  <c r="I1121" i="7"/>
  <c r="J1121" i="7"/>
  <c r="C1121" i="7"/>
  <c r="I1120" i="7"/>
  <c r="P1120" i="7"/>
  <c r="O1120" i="7"/>
  <c r="C1116" i="7"/>
  <c r="D1120" i="7"/>
  <c r="J1120" i="7"/>
  <c r="P1119" i="7"/>
  <c r="I1119" i="7"/>
  <c r="O1119" i="7"/>
  <c r="J1119" i="7"/>
  <c r="D1119" i="7"/>
  <c r="C1119" i="7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I1116" i="7"/>
  <c r="P1116" i="7"/>
  <c r="O1116" i="7"/>
  <c r="J1116" i="7"/>
  <c r="O1113" i="7"/>
  <c r="D1116" i="7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F412" i="7"/>
  <c r="F477" i="7"/>
  <c r="I1112" i="7"/>
  <c r="P1112" i="7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P1109" i="7"/>
  <c r="I1109" i="7"/>
  <c r="J1109" i="7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E794" i="7"/>
  <c r="E826" i="7"/>
  <c r="E858" i="7"/>
  <c r="E890" i="7"/>
  <c r="E922" i="7"/>
  <c r="E954" i="7"/>
  <c r="E986" i="7"/>
  <c r="G986" i="7" s="1"/>
  <c r="E1018" i="7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G5" i="4"/>
  <c r="E5" i="4"/>
  <c r="B5" i="4"/>
  <c r="D5" i="4"/>
  <c r="F5" i="4"/>
  <c r="Q1183" i="7" l="1"/>
  <c r="R1183" i="7" s="1"/>
  <c r="C1183" i="8" s="1"/>
  <c r="N1183" i="7"/>
  <c r="G1182" i="7"/>
  <c r="G1180" i="7"/>
  <c r="N1180" i="7" s="1"/>
  <c r="M1182" i="7"/>
  <c r="Q1182" i="7"/>
  <c r="R1182" i="7" s="1"/>
  <c r="C1182" i="8" s="1"/>
  <c r="M1179" i="7"/>
  <c r="Q1180" i="7"/>
  <c r="J1180" i="8" s="1"/>
  <c r="G1018" i="7"/>
  <c r="G1175" i="7"/>
  <c r="G1181" i="7"/>
  <c r="M1178" i="7"/>
  <c r="G1179" i="7"/>
  <c r="M1181" i="7"/>
  <c r="Q1181" i="7"/>
  <c r="B1168" i="6"/>
  <c r="B1163" i="6"/>
  <c r="B1173" i="6"/>
  <c r="Q1179" i="7"/>
  <c r="R1179" i="7" s="1"/>
  <c r="C1179" i="8" s="1"/>
  <c r="G554" i="7"/>
  <c r="G882" i="7"/>
  <c r="E1126" i="7"/>
  <c r="B1137" i="6"/>
  <c r="B1118" i="6"/>
  <c r="B1113" i="6"/>
  <c r="B1164" i="6"/>
  <c r="G1178" i="7"/>
  <c r="B1145" i="6"/>
  <c r="B1148" i="6"/>
  <c r="B1170" i="6"/>
  <c r="B1129" i="6"/>
  <c r="B1134" i="6"/>
  <c r="Q1178" i="7"/>
  <c r="J1178" i="8" s="1"/>
  <c r="M1177" i="7"/>
  <c r="B1120" i="6"/>
  <c r="B1130" i="6"/>
  <c r="B1169" i="6"/>
  <c r="B1136" i="6"/>
  <c r="G793" i="7"/>
  <c r="G762" i="7"/>
  <c r="B1119" i="6"/>
  <c r="B1152" i="6"/>
  <c r="B1154" i="6"/>
  <c r="B1143" i="6"/>
  <c r="B1149" i="6"/>
  <c r="B1165" i="6"/>
  <c r="B1172" i="6"/>
  <c r="B1159" i="6"/>
  <c r="B1125" i="6"/>
  <c r="B1116" i="6"/>
  <c r="B1107" i="6"/>
  <c r="B1158" i="6"/>
  <c r="B1141" i="6"/>
  <c r="B1135" i="6"/>
  <c r="B1144" i="6"/>
  <c r="B1157" i="6"/>
  <c r="B1155" i="6"/>
  <c r="B1133" i="6"/>
  <c r="B1112" i="6"/>
  <c r="E1153" i="7"/>
  <c r="B1160" i="6"/>
  <c r="B1114" i="6"/>
  <c r="B1151" i="6"/>
  <c r="B1123" i="6"/>
  <c r="B1127" i="6"/>
  <c r="G969" i="7"/>
  <c r="B1162" i="6"/>
  <c r="B1124" i="6"/>
  <c r="B1110" i="6"/>
  <c r="B1138" i="6"/>
  <c r="B1132" i="6"/>
  <c r="B1115" i="6"/>
  <c r="B1121" i="6"/>
  <c r="B1166" i="6"/>
  <c r="B1147" i="6"/>
  <c r="B1142" i="6"/>
  <c r="B1167" i="6"/>
  <c r="B1171" i="6"/>
  <c r="B1153" i="6"/>
  <c r="B1156" i="6"/>
  <c r="B1117" i="6"/>
  <c r="B1122" i="6"/>
  <c r="B1146" i="6"/>
  <c r="B1140" i="6"/>
  <c r="B1106" i="6"/>
  <c r="B1161" i="6"/>
  <c r="B1109" i="6"/>
  <c r="B1139" i="6"/>
  <c r="M1176" i="7"/>
  <c r="Q1177" i="7"/>
  <c r="J1177" i="8" s="1"/>
  <c r="G1176" i="7"/>
  <c r="B1175" i="6"/>
  <c r="B1150" i="6"/>
  <c r="B1111" i="6"/>
  <c r="B1174" i="6"/>
  <c r="B1131" i="6"/>
  <c r="B1176" i="6"/>
  <c r="R1177" i="7"/>
  <c r="C1177" i="8" s="1"/>
  <c r="G1177" i="7"/>
  <c r="M1175" i="7"/>
  <c r="N1175" i="7" s="1"/>
  <c r="Q1176" i="7"/>
  <c r="R1176" i="7" s="1"/>
  <c r="C1176" i="8" s="1"/>
  <c r="Q1175" i="7"/>
  <c r="R1175" i="7" s="1"/>
  <c r="C1175" i="8" s="1"/>
  <c r="M1174" i="7"/>
  <c r="Q1174" i="7"/>
  <c r="J1174" i="8" s="1"/>
  <c r="G1173" i="7"/>
  <c r="G1174" i="7"/>
  <c r="M1173" i="7"/>
  <c r="Q1173" i="7"/>
  <c r="R1173" i="7" s="1"/>
  <c r="C1173" i="8" s="1"/>
  <c r="G1172" i="7"/>
  <c r="Q1172" i="7"/>
  <c r="J1172" i="8" s="1"/>
  <c r="M1172" i="7"/>
  <c r="G1170" i="7"/>
  <c r="M1171" i="7"/>
  <c r="G1171" i="7"/>
  <c r="Q1171" i="7"/>
  <c r="J1171" i="8" s="1"/>
  <c r="M1170" i="7"/>
  <c r="Q1170" i="7"/>
  <c r="R1170" i="7" s="1"/>
  <c r="C1170" i="8" s="1"/>
  <c r="M1169" i="7"/>
  <c r="F1157" i="7"/>
  <c r="G1169" i="7"/>
  <c r="Q1169" i="7"/>
  <c r="R1169" i="7" s="1"/>
  <c r="C1169" i="8" s="1"/>
  <c r="K1163" i="7"/>
  <c r="E1168" i="7"/>
  <c r="F1168" i="7"/>
  <c r="Q1168" i="7"/>
  <c r="R1168" i="7" s="1"/>
  <c r="C1168" i="8" s="1"/>
  <c r="K1168" i="7"/>
  <c r="L1168" i="7"/>
  <c r="Q1166" i="7"/>
  <c r="J1166" i="8" s="1"/>
  <c r="L1167" i="7"/>
  <c r="M1167" i="7" s="1"/>
  <c r="J1167" i="8"/>
  <c r="K1165" i="7"/>
  <c r="E1167" i="7"/>
  <c r="F1167" i="7"/>
  <c r="K1166" i="7"/>
  <c r="E1166" i="7"/>
  <c r="F1166" i="7"/>
  <c r="L1166" i="7"/>
  <c r="K1164" i="7"/>
  <c r="Q1165" i="7"/>
  <c r="J1165" i="8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E1160" i="7"/>
  <c r="F1160" i="7"/>
  <c r="L1157" i="7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K1157" i="7"/>
  <c r="Q1156" i="7"/>
  <c r="J1156" i="8" s="1"/>
  <c r="E1156" i="7"/>
  <c r="F1156" i="7"/>
  <c r="L1156" i="7"/>
  <c r="F1155" i="7"/>
  <c r="Q1155" i="7"/>
  <c r="R1155" i="7" s="1"/>
  <c r="C1155" i="8" s="1"/>
  <c r="E1155" i="7"/>
  <c r="L1155" i="7"/>
  <c r="L1154" i="7"/>
  <c r="K1155" i="7"/>
  <c r="Q1154" i="7"/>
  <c r="J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Q1152" i="7"/>
  <c r="K1152" i="7"/>
  <c r="E1152" i="7"/>
  <c r="F1152" i="7"/>
  <c r="K1151" i="7"/>
  <c r="L1151" i="7"/>
  <c r="F1151" i="7"/>
  <c r="E1151" i="7"/>
  <c r="Q1150" i="7"/>
  <c r="R1150" i="7" s="1"/>
  <c r="K1150" i="7"/>
  <c r="E1150" i="7"/>
  <c r="F1150" i="7"/>
  <c r="L1150" i="7"/>
  <c r="Q1149" i="7"/>
  <c r="R1149" i="7" s="1"/>
  <c r="K1149" i="7"/>
  <c r="E1149" i="7"/>
  <c r="F1149" i="7"/>
  <c r="L1149" i="7"/>
  <c r="Q1147" i="7"/>
  <c r="R1147" i="7" s="1"/>
  <c r="Q1148" i="7"/>
  <c r="R1148" i="7" s="1"/>
  <c r="K1148" i="7"/>
  <c r="Q1144" i="7"/>
  <c r="L1148" i="7"/>
  <c r="E1148" i="7"/>
  <c r="F1148" i="7"/>
  <c r="K1147" i="7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F6" i="4"/>
  <c r="C6" i="4"/>
  <c r="G6" i="4"/>
  <c r="B6" i="4"/>
  <c r="D6" i="4"/>
  <c r="E6" i="4"/>
  <c r="R1180" i="7" l="1"/>
  <c r="C1180" i="8" s="1"/>
  <c r="N1182" i="7"/>
  <c r="J1183" i="8"/>
  <c r="C1182" i="6"/>
  <c r="D1182" i="6" s="1"/>
  <c r="K1183" i="8" s="1"/>
  <c r="N1179" i="7"/>
  <c r="J1182" i="8"/>
  <c r="C1181" i="6"/>
  <c r="D1181" i="6" s="1"/>
  <c r="K1182" i="8" s="1"/>
  <c r="N1178" i="7"/>
  <c r="N1181" i="7"/>
  <c r="J1181" i="8"/>
  <c r="R1181" i="7"/>
  <c r="C1181" i="8" s="1"/>
  <c r="C1180" i="6"/>
  <c r="D1180" i="6" s="1"/>
  <c r="K1181" i="8" s="1"/>
  <c r="C1179" i="6"/>
  <c r="D1179" i="6" s="1"/>
  <c r="K1180" i="8" s="1"/>
  <c r="J1179" i="8"/>
  <c r="C1178" i="6"/>
  <c r="D1178" i="6" s="1"/>
  <c r="K1179" i="8" s="1"/>
  <c r="R1178" i="7"/>
  <c r="C1178" i="8" s="1"/>
  <c r="N1177" i="7"/>
  <c r="C1177" i="6"/>
  <c r="D1177" i="6" s="1"/>
  <c r="K1178" i="8" s="1"/>
  <c r="C1175" i="6"/>
  <c r="D1175" i="6" s="1"/>
  <c r="K1176" i="8" s="1"/>
  <c r="C1160" i="6"/>
  <c r="D1160" i="6" s="1"/>
  <c r="C1149" i="6"/>
  <c r="D1149" i="6" s="1"/>
  <c r="K1150" i="8" s="1"/>
  <c r="C1162" i="6"/>
  <c r="D1162" i="6" s="1"/>
  <c r="C1163" i="6"/>
  <c r="D1163" i="6" s="1"/>
  <c r="K1164" i="8" s="1"/>
  <c r="C1147" i="6"/>
  <c r="D1147" i="6" s="1"/>
  <c r="K1148" i="8" s="1"/>
  <c r="C1168" i="6"/>
  <c r="D1168" i="6" s="1"/>
  <c r="K1169" i="8" s="1"/>
  <c r="C1148" i="6"/>
  <c r="D1148" i="6" s="1"/>
  <c r="K1149" i="8" s="1"/>
  <c r="C1151" i="6"/>
  <c r="D1151" i="6" s="1"/>
  <c r="C1155" i="6"/>
  <c r="D1155" i="6" s="1"/>
  <c r="K1156" i="8" s="1"/>
  <c r="C1167" i="6"/>
  <c r="D1167" i="6" s="1"/>
  <c r="K1168" i="8" s="1"/>
  <c r="C1154" i="6"/>
  <c r="D1154" i="6" s="1"/>
  <c r="K1155" i="8" s="1"/>
  <c r="C1173" i="6"/>
  <c r="D1173" i="6" s="1"/>
  <c r="K1174" i="8" s="1"/>
  <c r="C1152" i="6"/>
  <c r="D1152" i="6" s="1"/>
  <c r="C1166" i="6"/>
  <c r="D1166" i="6" s="1"/>
  <c r="K1167" i="8" s="1"/>
  <c r="C1169" i="6"/>
  <c r="D1169" i="6" s="1"/>
  <c r="K1170" i="8" s="1"/>
  <c r="C1171" i="6"/>
  <c r="D1171" i="6" s="1"/>
  <c r="K1172" i="8" s="1"/>
  <c r="C1176" i="6"/>
  <c r="D1176" i="6" s="1"/>
  <c r="C1159" i="6"/>
  <c r="D1159" i="6" s="1"/>
  <c r="C1164" i="6"/>
  <c r="D1164" i="6" s="1"/>
  <c r="C1172" i="6"/>
  <c r="D1172" i="6" s="1"/>
  <c r="K1173" i="8" s="1"/>
  <c r="C1157" i="6"/>
  <c r="D1157" i="6" s="1"/>
  <c r="N1176" i="7"/>
  <c r="C1153" i="6"/>
  <c r="D1153" i="6" s="1"/>
  <c r="C1156" i="6"/>
  <c r="D1156" i="6" s="1"/>
  <c r="K1157" i="8" s="1"/>
  <c r="C1161" i="6"/>
  <c r="D1161" i="6" s="1"/>
  <c r="C1165" i="6"/>
  <c r="D1165" i="6" s="1"/>
  <c r="C1170" i="6"/>
  <c r="D1170" i="6" s="1"/>
  <c r="K1171" i="8" s="1"/>
  <c r="C1158" i="6"/>
  <c r="D1158" i="6" s="1"/>
  <c r="C1150" i="6"/>
  <c r="D1150" i="6" s="1"/>
  <c r="C1174" i="6"/>
  <c r="D1174" i="6" s="1"/>
  <c r="K1175" i="8" s="1"/>
  <c r="J1176" i="8"/>
  <c r="J1175" i="8"/>
  <c r="N1174" i="7"/>
  <c r="R1174" i="7"/>
  <c r="C1174" i="8" s="1"/>
  <c r="N1173" i="7"/>
  <c r="G1157" i="7"/>
  <c r="J1173" i="8"/>
  <c r="N1170" i="7"/>
  <c r="N1172" i="7"/>
  <c r="R1172" i="7"/>
  <c r="C1172" i="8" s="1"/>
  <c r="N1171" i="7"/>
  <c r="R1171" i="7"/>
  <c r="C1171" i="8" s="1"/>
  <c r="J1170" i="8"/>
  <c r="N1169" i="7"/>
  <c r="J1169" i="8"/>
  <c r="M1163" i="7"/>
  <c r="G1168" i="7"/>
  <c r="M1168" i="7"/>
  <c r="J1168" i="8"/>
  <c r="R1166" i="7"/>
  <c r="C1166" i="8" s="1"/>
  <c r="M1165" i="7"/>
  <c r="G1167" i="7"/>
  <c r="N1167" i="7" s="1"/>
  <c r="M1161" i="7"/>
  <c r="M1166" i="7"/>
  <c r="M1164" i="7"/>
  <c r="G1166" i="7"/>
  <c r="G1165" i="7"/>
  <c r="R1165" i="7"/>
  <c r="C1165" i="8" s="1"/>
  <c r="M1160" i="7"/>
  <c r="J1159" i="8"/>
  <c r="G1163" i="7"/>
  <c r="G1164" i="7"/>
  <c r="J1164" i="8"/>
  <c r="R1163" i="7"/>
  <c r="C1163" i="8" s="1"/>
  <c r="J1160" i="8"/>
  <c r="R1161" i="7"/>
  <c r="C1161" i="8" s="1"/>
  <c r="G1161" i="7"/>
  <c r="J1162" i="8"/>
  <c r="M1162" i="7"/>
  <c r="G1160" i="7"/>
  <c r="M1157" i="7"/>
  <c r="G1162" i="7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C7" i="4"/>
  <c r="D7" i="4"/>
  <c r="E7" i="4"/>
  <c r="F7" i="4"/>
  <c r="G7" i="4"/>
  <c r="G1182" i="6" l="1"/>
  <c r="L1183" i="8" s="1"/>
  <c r="K1163" i="8"/>
  <c r="E1182" i="6"/>
  <c r="F1182" i="6" s="1"/>
  <c r="D1183" i="8" s="1"/>
  <c r="K1162" i="8"/>
  <c r="E1181" i="6"/>
  <c r="F1181" i="6" s="1"/>
  <c r="D1182" i="8" s="1"/>
  <c r="G1181" i="6"/>
  <c r="K1160" i="8"/>
  <c r="E1179" i="6"/>
  <c r="F1179" i="6" s="1"/>
  <c r="D1180" i="8" s="1"/>
  <c r="K1161" i="8"/>
  <c r="E1180" i="6"/>
  <c r="F1180" i="6" s="1"/>
  <c r="D1181" i="8" s="1"/>
  <c r="G1179" i="6"/>
  <c r="G1180" i="6"/>
  <c r="G1163" i="6"/>
  <c r="L1164" i="8" s="1"/>
  <c r="G1175" i="6"/>
  <c r="L1176" i="8" s="1"/>
  <c r="G1167" i="6"/>
  <c r="H1167" i="6" s="1"/>
  <c r="B1168" i="8" s="1"/>
  <c r="K1159" i="8"/>
  <c r="E1178" i="6"/>
  <c r="F1178" i="6" s="1"/>
  <c r="D1179" i="8" s="1"/>
  <c r="K1166" i="8"/>
  <c r="G1178" i="6"/>
  <c r="G1165" i="6"/>
  <c r="L1166" i="8" s="1"/>
  <c r="K1153" i="8"/>
  <c r="K1151" i="8"/>
  <c r="G1160" i="6"/>
  <c r="H1160" i="6" s="1"/>
  <c r="B1161" i="8" s="1"/>
  <c r="G1162" i="6"/>
  <c r="H1162" i="6" s="1"/>
  <c r="B1163" i="8" s="1"/>
  <c r="G1164" i="6"/>
  <c r="H1164" i="6" s="1"/>
  <c r="B1165" i="8" s="1"/>
  <c r="G1168" i="6"/>
  <c r="L1169" i="8" s="1"/>
  <c r="K1158" i="8"/>
  <c r="E1177" i="6"/>
  <c r="F1177" i="6" s="1"/>
  <c r="D1178" i="8" s="1"/>
  <c r="K1165" i="8"/>
  <c r="G1177" i="6"/>
  <c r="E1173" i="6"/>
  <c r="F1173" i="6" s="1"/>
  <c r="D1174" i="8" s="1"/>
  <c r="E1172" i="6"/>
  <c r="F1172" i="6" s="1"/>
  <c r="D1173" i="8" s="1"/>
  <c r="K1152" i="8"/>
  <c r="E1167" i="6"/>
  <c r="F1167" i="6" s="1"/>
  <c r="D1168" i="8" s="1"/>
  <c r="G1169" i="6"/>
  <c r="L1170" i="8" s="1"/>
  <c r="G1161" i="6"/>
  <c r="H1161" i="6" s="1"/>
  <c r="B1162" i="8" s="1"/>
  <c r="G1176" i="6"/>
  <c r="L1177" i="8" s="1"/>
  <c r="K1177" i="8"/>
  <c r="E1170" i="6"/>
  <c r="F1170" i="6" s="1"/>
  <c r="D1171" i="8" s="1"/>
  <c r="G1172" i="6"/>
  <c r="H1172" i="6" s="1"/>
  <c r="B1173" i="8" s="1"/>
  <c r="E1173" i="8" s="1"/>
  <c r="K1154" i="8"/>
  <c r="G1166" i="6"/>
  <c r="L1167" i="8" s="1"/>
  <c r="G1173" i="6"/>
  <c r="L1174" i="8" s="1"/>
  <c r="E1169" i="6"/>
  <c r="F1169" i="6" s="1"/>
  <c r="D1170" i="8" s="1"/>
  <c r="G1170" i="6"/>
  <c r="H1170" i="6" s="1"/>
  <c r="B1171" i="8" s="1"/>
  <c r="E1171" i="6"/>
  <c r="F1171" i="6" s="1"/>
  <c r="D1172" i="8" s="1"/>
  <c r="E1168" i="6"/>
  <c r="F1168" i="6" s="1"/>
  <c r="D1169" i="8" s="1"/>
  <c r="G1171" i="6"/>
  <c r="L1172" i="8" s="1"/>
  <c r="E1174" i="6"/>
  <c r="F1174" i="6" s="1"/>
  <c r="D1175" i="8" s="1"/>
  <c r="G1174" i="6"/>
  <c r="H1174" i="6" s="1"/>
  <c r="B1175" i="8" s="1"/>
  <c r="E1176" i="6"/>
  <c r="F1176" i="6" s="1"/>
  <c r="D1177" i="8" s="1"/>
  <c r="E1175" i="6"/>
  <c r="F1175" i="6" s="1"/>
  <c r="D1176" i="8" s="1"/>
  <c r="N1157" i="7"/>
  <c r="N1163" i="7"/>
  <c r="N1168" i="7"/>
  <c r="L1168" i="8"/>
  <c r="N1165" i="7"/>
  <c r="N1164" i="7"/>
  <c r="N1166" i="7"/>
  <c r="N1161" i="7"/>
  <c r="N1160" i="7"/>
  <c r="N1162" i="7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D8" i="4"/>
  <c r="F8" i="4"/>
  <c r="B8" i="4"/>
  <c r="C8" i="4"/>
  <c r="G8" i="4"/>
  <c r="E8" i="4"/>
  <c r="H1182" i="6" l="1"/>
  <c r="B1183" i="8" s="1"/>
  <c r="E1183" i="8" s="1"/>
  <c r="L1182" i="8"/>
  <c r="H1181" i="6"/>
  <c r="B1182" i="8" s="1"/>
  <c r="E1182" i="8" s="1"/>
  <c r="L1163" i="8"/>
  <c r="H1175" i="6"/>
  <c r="B1176" i="8" s="1"/>
  <c r="E1176" i="8" s="1"/>
  <c r="H1180" i="6"/>
  <c r="B1181" i="8" s="1"/>
  <c r="E1181" i="8" s="1"/>
  <c r="L1181" i="8"/>
  <c r="L1180" i="8"/>
  <c r="H1179" i="6"/>
  <c r="B1180" i="8" s="1"/>
  <c r="E1180" i="8" s="1"/>
  <c r="H1176" i="6"/>
  <c r="B1177" i="8" s="1"/>
  <c r="E1177" i="8" s="1"/>
  <c r="H1163" i="6"/>
  <c r="B1164" i="8" s="1"/>
  <c r="L1161" i="8"/>
  <c r="L1165" i="8"/>
  <c r="H1169" i="6"/>
  <c r="B1170" i="8" s="1"/>
  <c r="E1170" i="8" s="1"/>
  <c r="H1173" i="6"/>
  <c r="B1174" i="8" s="1"/>
  <c r="E1174" i="8" s="1"/>
  <c r="H1165" i="6"/>
  <c r="B1166" i="8" s="1"/>
  <c r="H1178" i="6"/>
  <c r="B1179" i="8" s="1"/>
  <c r="E1179" i="8" s="1"/>
  <c r="L1179" i="8"/>
  <c r="H1168" i="6"/>
  <c r="B1169" i="8" s="1"/>
  <c r="E1169" i="8" s="1"/>
  <c r="L1162" i="8"/>
  <c r="E1171" i="8"/>
  <c r="L1171" i="8"/>
  <c r="H1171" i="6"/>
  <c r="B1172" i="8" s="1"/>
  <c r="E1172" i="8" s="1"/>
  <c r="E1175" i="8"/>
  <c r="H1166" i="6"/>
  <c r="B1167" i="8" s="1"/>
  <c r="L1178" i="8"/>
  <c r="H1177" i="6"/>
  <c r="B1178" i="8" s="1"/>
  <c r="E1178" i="8" s="1"/>
  <c r="L1173" i="8"/>
  <c r="E1168" i="8"/>
  <c r="L1175" i="8"/>
  <c r="B7" i="6"/>
  <c r="I8" i="4"/>
  <c r="H8" i="4"/>
  <c r="A8" i="6"/>
  <c r="A9" i="8" s="1"/>
  <c r="D9" i="4"/>
  <c r="E9" i="4"/>
  <c r="B9" i="4"/>
  <c r="C9" i="4"/>
  <c r="F9" i="4"/>
  <c r="G9" i="4"/>
  <c r="I9" i="4" l="1"/>
  <c r="H9" i="4"/>
  <c r="A9" i="6"/>
  <c r="A10" i="8" s="1"/>
  <c r="B8" i="6"/>
  <c r="E10" i="4"/>
  <c r="B10" i="4"/>
  <c r="G10" i="4"/>
  <c r="D10" i="4"/>
  <c r="C10" i="4"/>
  <c r="F10" i="4"/>
  <c r="I10" i="4" l="1"/>
  <c r="H10" i="4"/>
  <c r="A10" i="6"/>
  <c r="A11" i="8" s="1"/>
  <c r="B9" i="6"/>
  <c r="B11" i="4"/>
  <c r="E11" i="4"/>
  <c r="G11" i="4"/>
  <c r="C11" i="4"/>
  <c r="D11" i="4"/>
  <c r="F11" i="4"/>
  <c r="H11" i="4" l="1"/>
  <c r="I11" i="4"/>
  <c r="A11" i="6"/>
  <c r="A12" i="8" s="1"/>
  <c r="B10" i="6"/>
  <c r="C12" i="4"/>
  <c r="G12" i="4"/>
  <c r="D12" i="4"/>
  <c r="F12" i="4"/>
  <c r="E12" i="4"/>
  <c r="B12" i="4"/>
  <c r="B11" i="6" l="1"/>
  <c r="I12" i="4"/>
  <c r="H12" i="4"/>
  <c r="A12" i="6"/>
  <c r="A13" i="8" s="1"/>
  <c r="B13" i="4"/>
  <c r="C13" i="4"/>
  <c r="G13" i="4"/>
  <c r="E13" i="4"/>
  <c r="F13" i="4"/>
  <c r="D13" i="4"/>
  <c r="H13" i="4" l="1"/>
  <c r="I13" i="4"/>
  <c r="A13" i="6"/>
  <c r="A14" i="8" s="1"/>
  <c r="B12" i="6"/>
  <c r="E14" i="4"/>
  <c r="F14" i="4"/>
  <c r="B14" i="4"/>
  <c r="D14" i="4"/>
  <c r="G14" i="4"/>
  <c r="C14" i="4"/>
  <c r="B13" i="6" l="1"/>
  <c r="H14" i="4"/>
  <c r="I14" i="4"/>
  <c r="A14" i="6"/>
  <c r="A15" i="8" s="1"/>
  <c r="G15" i="4"/>
  <c r="E15" i="4"/>
  <c r="C15" i="4"/>
  <c r="B15" i="4"/>
  <c r="D15" i="4"/>
  <c r="F15" i="4"/>
  <c r="B14" i="6" l="1"/>
  <c r="H15" i="4"/>
  <c r="I15" i="4"/>
  <c r="A15" i="6"/>
  <c r="A16" i="8" s="1"/>
  <c r="E16" i="4"/>
  <c r="B16" i="4"/>
  <c r="D16" i="4"/>
  <c r="F16" i="4"/>
  <c r="C16" i="4"/>
  <c r="G16" i="4"/>
  <c r="B15" i="6" l="1"/>
  <c r="I16" i="4"/>
  <c r="H16" i="4"/>
  <c r="A16" i="6"/>
  <c r="A17" i="8" s="1"/>
  <c r="G17" i="4"/>
  <c r="C17" i="4"/>
  <c r="E17" i="4"/>
  <c r="B17" i="4"/>
  <c r="D17" i="4"/>
  <c r="F17" i="4"/>
  <c r="I17" i="4" l="1"/>
  <c r="H17" i="4"/>
  <c r="A17" i="6"/>
  <c r="A18" i="8" s="1"/>
  <c r="B16" i="6"/>
  <c r="G18" i="4"/>
  <c r="B18" i="4"/>
  <c r="D18" i="4"/>
  <c r="F18" i="4"/>
  <c r="E18" i="4"/>
  <c r="C18" i="4"/>
  <c r="H18" i="4" l="1"/>
  <c r="I18" i="4"/>
  <c r="A18" i="6"/>
  <c r="A19" i="8" s="1"/>
  <c r="B17" i="6"/>
  <c r="F19" i="4"/>
  <c r="C19" i="4"/>
  <c r="D19" i="4"/>
  <c r="B19" i="4"/>
  <c r="E19" i="4"/>
  <c r="G19" i="4"/>
  <c r="B18" i="6" l="1"/>
  <c r="H19" i="4"/>
  <c r="I19" i="4"/>
  <c r="A19" i="6"/>
  <c r="A20" i="8" s="1"/>
  <c r="B20" i="4"/>
  <c r="G20" i="4"/>
  <c r="E20" i="4"/>
  <c r="D20" i="4"/>
  <c r="C20" i="4"/>
  <c r="F20" i="4"/>
  <c r="B19" i="6" l="1"/>
  <c r="I20" i="4"/>
  <c r="H20" i="4"/>
  <c r="A20" i="6"/>
  <c r="A21" i="8" s="1"/>
  <c r="E21" i="4"/>
  <c r="B21" i="4"/>
  <c r="F21" i="4"/>
  <c r="C21" i="4"/>
  <c r="G21" i="4"/>
  <c r="D21" i="4"/>
  <c r="H21" i="4" l="1"/>
  <c r="I21" i="4"/>
  <c r="A21" i="6"/>
  <c r="A22" i="8" s="1"/>
  <c r="B20" i="6"/>
  <c r="E22" i="4"/>
  <c r="D22" i="4"/>
  <c r="F22" i="4"/>
  <c r="B22" i="4"/>
  <c r="G22" i="4"/>
  <c r="C22" i="4"/>
  <c r="B21" i="6" l="1"/>
  <c r="I22" i="4"/>
  <c r="H22" i="4"/>
  <c r="A22" i="6"/>
  <c r="A23" i="8" s="1"/>
  <c r="G23" i="4"/>
  <c r="B23" i="4"/>
  <c r="D23" i="4"/>
  <c r="C23" i="4"/>
  <c r="E23" i="4"/>
  <c r="F23" i="4"/>
  <c r="I23" i="4" l="1"/>
  <c r="H23" i="4"/>
  <c r="A23" i="6"/>
  <c r="A24" i="8" s="1"/>
  <c r="B22" i="6"/>
  <c r="D24" i="4"/>
  <c r="E24" i="4"/>
  <c r="F24" i="4"/>
  <c r="B24" i="4"/>
  <c r="G24" i="4"/>
  <c r="C24" i="4"/>
  <c r="H24" i="4" l="1"/>
  <c r="I24" i="4"/>
  <c r="A24" i="6"/>
  <c r="A25" i="8" s="1"/>
  <c r="B23" i="6"/>
  <c r="E25" i="4"/>
  <c r="C25" i="4"/>
  <c r="D25" i="4"/>
  <c r="G25" i="4"/>
  <c r="F25" i="4"/>
  <c r="B25" i="4"/>
  <c r="B24" i="6" l="1"/>
  <c r="I25" i="4"/>
  <c r="H25" i="4"/>
  <c r="A25" i="6"/>
  <c r="A26" i="8" s="1"/>
  <c r="G26" i="4"/>
  <c r="B26" i="4"/>
  <c r="D26" i="4"/>
  <c r="F26" i="4"/>
  <c r="E26" i="4"/>
  <c r="C26" i="4"/>
  <c r="H26" i="4" l="1"/>
  <c r="I26" i="4"/>
  <c r="A26" i="6"/>
  <c r="A27" i="8" s="1"/>
  <c r="B25" i="6"/>
  <c r="F27" i="4"/>
  <c r="D27" i="4"/>
  <c r="B27" i="4"/>
  <c r="C27" i="4"/>
  <c r="G27" i="4"/>
  <c r="E27" i="4"/>
  <c r="B26" i="6" l="1"/>
  <c r="I27" i="4"/>
  <c r="H27" i="4"/>
  <c r="A27" i="6"/>
  <c r="A28" i="8" s="1"/>
  <c r="B28" i="4"/>
  <c r="G28" i="4"/>
  <c r="D28" i="4"/>
  <c r="C28" i="4"/>
  <c r="E28" i="4"/>
  <c r="F28" i="4"/>
  <c r="H28" i="4" l="1"/>
  <c r="I28" i="4"/>
  <c r="A28" i="6"/>
  <c r="A29" i="8" s="1"/>
  <c r="B27" i="6"/>
  <c r="C29" i="4"/>
  <c r="D29" i="4"/>
  <c r="F29" i="4"/>
  <c r="E29" i="4"/>
  <c r="G29" i="4"/>
  <c r="B29" i="4"/>
  <c r="B28" i="6" l="1"/>
  <c r="H29" i="4"/>
  <c r="I29" i="4"/>
  <c r="A29" i="6"/>
  <c r="A30" i="8" s="1"/>
  <c r="C30" i="4"/>
  <c r="G30" i="4"/>
  <c r="D30" i="4"/>
  <c r="E30" i="4"/>
  <c r="F30" i="4"/>
  <c r="B30" i="4"/>
  <c r="B29" i="6" l="1"/>
  <c r="H30" i="4"/>
  <c r="I30" i="4"/>
  <c r="A30" i="6"/>
  <c r="A31" i="8" s="1"/>
  <c r="G31" i="4"/>
  <c r="D31" i="4"/>
  <c r="E31" i="4"/>
  <c r="C31" i="4"/>
  <c r="B31" i="4"/>
  <c r="F31" i="4"/>
  <c r="B30" i="6" l="1"/>
  <c r="H31" i="4"/>
  <c r="I31" i="4"/>
  <c r="A31" i="6"/>
  <c r="A32" i="8" s="1"/>
  <c r="D32" i="4"/>
  <c r="G32" i="4"/>
  <c r="E32" i="4"/>
  <c r="F32" i="4"/>
  <c r="B32" i="4"/>
  <c r="C32" i="4"/>
  <c r="B31" i="6" l="1"/>
  <c r="I32" i="4"/>
  <c r="H32" i="4"/>
  <c r="A32" i="6"/>
  <c r="A33" i="8" s="1"/>
  <c r="F33" i="4"/>
  <c r="B33" i="4"/>
  <c r="C33" i="4"/>
  <c r="E33" i="4"/>
  <c r="D33" i="4"/>
  <c r="G33" i="4"/>
  <c r="B32" i="6" l="1"/>
  <c r="I33" i="4"/>
  <c r="H33" i="4"/>
  <c r="A33" i="6"/>
  <c r="A34" i="8" s="1"/>
  <c r="B34" i="4"/>
  <c r="E34" i="4"/>
  <c r="C34" i="4"/>
  <c r="F34" i="4"/>
  <c r="D34" i="4"/>
  <c r="G34" i="4"/>
  <c r="H34" i="4" l="1"/>
  <c r="I34" i="4"/>
  <c r="A34" i="6"/>
  <c r="A35" i="8" s="1"/>
  <c r="B33" i="6"/>
  <c r="F35" i="4"/>
  <c r="E35" i="4"/>
  <c r="C35" i="4"/>
  <c r="B35" i="4"/>
  <c r="G35" i="4"/>
  <c r="D35" i="4"/>
  <c r="B34" i="6" l="1"/>
  <c r="I35" i="4"/>
  <c r="H35" i="4"/>
  <c r="A35" i="6"/>
  <c r="A36" i="8" s="1"/>
  <c r="B36" i="4"/>
  <c r="D36" i="4"/>
  <c r="F36" i="4"/>
  <c r="G36" i="4"/>
  <c r="C36" i="4"/>
  <c r="E36" i="4"/>
  <c r="I36" i="4" l="1"/>
  <c r="H36" i="4"/>
  <c r="A36" i="6"/>
  <c r="A37" i="8" s="1"/>
  <c r="B35" i="6"/>
  <c r="D37" i="4"/>
  <c r="B37" i="4"/>
  <c r="E37" i="4"/>
  <c r="F37" i="4"/>
  <c r="G37" i="4"/>
  <c r="C37" i="4"/>
  <c r="H37" i="4" l="1"/>
  <c r="I37" i="4"/>
  <c r="A37" i="6"/>
  <c r="A38" i="8" s="1"/>
  <c r="B36" i="6"/>
  <c r="B38" i="4"/>
  <c r="E38" i="4"/>
  <c r="C38" i="4"/>
  <c r="F38" i="4"/>
  <c r="D38" i="4"/>
  <c r="G38" i="4"/>
  <c r="B37" i="6" l="1"/>
  <c r="I38" i="4"/>
  <c r="H38" i="4"/>
  <c r="A38" i="6"/>
  <c r="A39" i="8" s="1"/>
  <c r="B39" i="4"/>
  <c r="G39" i="4"/>
  <c r="C39" i="4"/>
  <c r="F39" i="4"/>
  <c r="D39" i="4"/>
  <c r="E39" i="4"/>
  <c r="H39" i="4" l="1"/>
  <c r="I39" i="4"/>
  <c r="A39" i="6"/>
  <c r="A40" i="8" s="1"/>
  <c r="B38" i="6"/>
  <c r="G40" i="4"/>
  <c r="C40" i="4"/>
  <c r="D40" i="4"/>
  <c r="E40" i="4"/>
  <c r="B40" i="4"/>
  <c r="F40" i="4"/>
  <c r="B39" i="6" l="1"/>
  <c r="H40" i="4"/>
  <c r="I40" i="4"/>
  <c r="A40" i="6"/>
  <c r="A41" i="8" s="1"/>
  <c r="E41" i="4"/>
  <c r="C41" i="4"/>
  <c r="B41" i="4"/>
  <c r="D41" i="4"/>
  <c r="G41" i="4"/>
  <c r="F41" i="4"/>
  <c r="B40" i="6" l="1"/>
  <c r="I41" i="4"/>
  <c r="H41" i="4"/>
  <c r="A41" i="6"/>
  <c r="A42" i="8" s="1"/>
  <c r="D42" i="4"/>
  <c r="B42" i="4"/>
  <c r="G42" i="4"/>
  <c r="E42" i="4"/>
  <c r="C42" i="4"/>
  <c r="F42" i="4"/>
  <c r="I42" i="4" l="1"/>
  <c r="H42" i="4"/>
  <c r="A42" i="6"/>
  <c r="A43" i="8" s="1"/>
  <c r="B41" i="6"/>
  <c r="E43" i="4"/>
  <c r="G43" i="4"/>
  <c r="F43" i="4"/>
  <c r="D43" i="4"/>
  <c r="C43" i="4"/>
  <c r="B43" i="4"/>
  <c r="I43" i="4" l="1"/>
  <c r="H43" i="4"/>
  <c r="A43" i="6"/>
  <c r="A44" i="8" s="1"/>
  <c r="B42" i="6"/>
  <c r="E44" i="4"/>
  <c r="G44" i="4"/>
  <c r="D44" i="4"/>
  <c r="B44" i="4"/>
  <c r="C44" i="4"/>
  <c r="F44" i="4"/>
  <c r="I44" i="4" l="1"/>
  <c r="H44" i="4"/>
  <c r="A44" i="6"/>
  <c r="A45" i="8" s="1"/>
  <c r="B43" i="6"/>
  <c r="G45" i="4"/>
  <c r="F45" i="4"/>
  <c r="E45" i="4"/>
  <c r="D45" i="4"/>
  <c r="B45" i="4"/>
  <c r="C45" i="4"/>
  <c r="B44" i="6" l="1"/>
  <c r="I45" i="4"/>
  <c r="H45" i="4"/>
  <c r="A45" i="6"/>
  <c r="A46" i="8" s="1"/>
  <c r="F46" i="4"/>
  <c r="E46" i="4"/>
  <c r="C46" i="4"/>
  <c r="G46" i="4"/>
  <c r="D46" i="4"/>
  <c r="B46" i="4"/>
  <c r="C44" i="6" l="1"/>
  <c r="D44" i="6" s="1"/>
  <c r="H46" i="4"/>
  <c r="I46" i="4"/>
  <c r="A46" i="6"/>
  <c r="A47" i="8" s="1"/>
  <c r="B45" i="6"/>
  <c r="D47" i="4"/>
  <c r="E47" i="4"/>
  <c r="B47" i="4"/>
  <c r="G47" i="4"/>
  <c r="F47" i="4"/>
  <c r="C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E48" i="4"/>
  <c r="F48" i="4"/>
  <c r="C48" i="4"/>
  <c r="B48" i="4"/>
  <c r="G48" i="4"/>
  <c r="B47" i="6" l="1"/>
  <c r="C47" i="6" s="1"/>
  <c r="D47" i="6" s="1"/>
  <c r="K47" i="8"/>
  <c r="K46" i="8"/>
  <c r="I48" i="4"/>
  <c r="H48" i="4"/>
  <c r="A48" i="6"/>
  <c r="A49" i="8" s="1"/>
  <c r="E49" i="4"/>
  <c r="D49" i="4"/>
  <c r="B49" i="4"/>
  <c r="G49" i="4"/>
  <c r="C49" i="4"/>
  <c r="F49" i="4"/>
  <c r="K48" i="8" l="1"/>
  <c r="H49" i="4"/>
  <c r="I49" i="4"/>
  <c r="A49" i="6"/>
  <c r="A50" i="8" s="1"/>
  <c r="B48" i="6"/>
  <c r="B50" i="4"/>
  <c r="G50" i="4"/>
  <c r="E50" i="4"/>
  <c r="C50" i="4"/>
  <c r="F50" i="4"/>
  <c r="D50" i="4"/>
  <c r="B49" i="6" l="1"/>
  <c r="C49" i="6" s="1"/>
  <c r="D49" i="6" s="1"/>
  <c r="C48" i="6"/>
  <c r="D48" i="6" s="1"/>
  <c r="I50" i="4"/>
  <c r="H50" i="4"/>
  <c r="A50" i="6"/>
  <c r="A51" i="8" s="1"/>
  <c r="C51" i="4"/>
  <c r="E51" i="4"/>
  <c r="B51" i="4"/>
  <c r="D51" i="4"/>
  <c r="G51" i="4"/>
  <c r="F51" i="4"/>
  <c r="K49" i="8" l="1"/>
  <c r="K50" i="8"/>
  <c r="B50" i="6"/>
  <c r="I51" i="4"/>
  <c r="H51" i="4"/>
  <c r="A51" i="6"/>
  <c r="A52" i="8" s="1"/>
  <c r="G52" i="4"/>
  <c r="F52" i="4"/>
  <c r="B52" i="4"/>
  <c r="D52" i="4"/>
  <c r="E52" i="4"/>
  <c r="C52" i="4"/>
  <c r="C50" i="6" l="1"/>
  <c r="D50" i="6" s="1"/>
  <c r="H52" i="4"/>
  <c r="I52" i="4"/>
  <c r="A52" i="6"/>
  <c r="A53" i="8" s="1"/>
  <c r="B51" i="6"/>
  <c r="B53" i="4"/>
  <c r="C53" i="4"/>
  <c r="G53" i="4"/>
  <c r="E53" i="4"/>
  <c r="D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G54" i="4"/>
  <c r="D54" i="4"/>
  <c r="B54" i="4"/>
  <c r="C54" i="4"/>
  <c r="E54" i="4"/>
  <c r="K52" i="8" l="1"/>
  <c r="K53" i="8"/>
  <c r="B53" i="6"/>
  <c r="I54" i="4"/>
  <c r="H54" i="4"/>
  <c r="A54" i="6"/>
  <c r="A55" i="8" s="1"/>
  <c r="E55" i="4"/>
  <c r="C55" i="4"/>
  <c r="B55" i="4"/>
  <c r="F55" i="4"/>
  <c r="D55" i="4"/>
  <c r="G55" i="4"/>
  <c r="B54" i="6" l="1"/>
  <c r="C53" i="6"/>
  <c r="D53" i="6" s="1"/>
  <c r="I55" i="4"/>
  <c r="H55" i="4"/>
  <c r="A55" i="6"/>
  <c r="A56" i="8" s="1"/>
  <c r="F56" i="4"/>
  <c r="B56" i="4"/>
  <c r="G56" i="4"/>
  <c r="D56" i="4"/>
  <c r="E56" i="4"/>
  <c r="C56" i="4"/>
  <c r="K54" i="8" l="1"/>
  <c r="C54" i="6"/>
  <c r="D54" i="6" s="1"/>
  <c r="B55" i="6"/>
  <c r="I56" i="4"/>
  <c r="H56" i="4"/>
  <c r="A56" i="6"/>
  <c r="A57" i="8" s="1"/>
  <c r="E57" i="4"/>
  <c r="C57" i="4"/>
  <c r="G57" i="4"/>
  <c r="B57" i="4"/>
  <c r="D57" i="4"/>
  <c r="F57" i="4"/>
  <c r="K55" i="8" l="1"/>
  <c r="C55" i="6"/>
  <c r="D55" i="6" s="1"/>
  <c r="H57" i="4"/>
  <c r="I57" i="4"/>
  <c r="A57" i="6"/>
  <c r="A58" i="8" s="1"/>
  <c r="B56" i="6"/>
  <c r="C58" i="4"/>
  <c r="D58" i="4"/>
  <c r="E58" i="4"/>
  <c r="B58" i="4"/>
  <c r="G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G59" i="4"/>
  <c r="E59" i="4"/>
  <c r="C59" i="4"/>
  <c r="F59" i="4"/>
  <c r="B59" i="4"/>
  <c r="D59" i="4"/>
  <c r="K58" i="8" l="1"/>
  <c r="G57" i="6"/>
  <c r="L58" i="8" s="1"/>
  <c r="K57" i="8"/>
  <c r="H59" i="4"/>
  <c r="I59" i="4"/>
  <c r="A59" i="6"/>
  <c r="A60" i="8" s="1"/>
  <c r="B58" i="6"/>
  <c r="F60" i="4"/>
  <c r="D60" i="4"/>
  <c r="G60" i="4"/>
  <c r="B60" i="4"/>
  <c r="C60" i="4"/>
  <c r="E60" i="4"/>
  <c r="B59" i="6" l="1"/>
  <c r="C59" i="6" s="1"/>
  <c r="D59" i="6" s="1"/>
  <c r="C58" i="6"/>
  <c r="D58" i="6" s="1"/>
  <c r="H60" i="4"/>
  <c r="I60" i="4"/>
  <c r="A60" i="6"/>
  <c r="A61" i="8" s="1"/>
  <c r="B61" i="4"/>
  <c r="F61" i="4"/>
  <c r="C61" i="4"/>
  <c r="D61" i="4"/>
  <c r="G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F62" i="4"/>
  <c r="B62" i="4"/>
  <c r="G62" i="4"/>
  <c r="E62" i="4"/>
  <c r="K61" i="8" l="1"/>
  <c r="G60" i="6"/>
  <c r="L61" i="8" s="1"/>
  <c r="B61" i="6"/>
  <c r="I62" i="4"/>
  <c r="H62" i="4"/>
  <c r="A62" i="6"/>
  <c r="A63" i="8" s="1"/>
  <c r="G63" i="4"/>
  <c r="E63" i="4"/>
  <c r="C63" i="4"/>
  <c r="B63" i="4"/>
  <c r="D63" i="4"/>
  <c r="F63" i="4"/>
  <c r="C61" i="6" l="1"/>
  <c r="D61" i="6" s="1"/>
  <c r="H63" i="4"/>
  <c r="I63" i="4"/>
  <c r="A63" i="6"/>
  <c r="A64" i="8" s="1"/>
  <c r="B62" i="6"/>
  <c r="C64" i="4"/>
  <c r="E64" i="4"/>
  <c r="D64" i="4"/>
  <c r="F64" i="4"/>
  <c r="G64" i="4"/>
  <c r="B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F65" i="4"/>
  <c r="C65" i="4"/>
  <c r="G65" i="4"/>
  <c r="B65" i="4"/>
  <c r="D65" i="4"/>
  <c r="E65" i="4"/>
  <c r="K64" i="8" l="1"/>
  <c r="G63" i="6"/>
  <c r="L64" i="8" s="1"/>
  <c r="K63" i="8"/>
  <c r="G62" i="6"/>
  <c r="L63" i="8" s="1"/>
  <c r="I65" i="4"/>
  <c r="H65" i="4"/>
  <c r="A65" i="6"/>
  <c r="A66" i="8" s="1"/>
  <c r="B64" i="6"/>
  <c r="D66" i="4"/>
  <c r="F66" i="4"/>
  <c r="C66" i="4"/>
  <c r="B66" i="4"/>
  <c r="E66" i="4"/>
  <c r="G66" i="4"/>
  <c r="C64" i="6" l="1"/>
  <c r="D64" i="6" s="1"/>
  <c r="H66" i="4"/>
  <c r="I66" i="4"/>
  <c r="A66" i="6"/>
  <c r="A67" i="8" s="1"/>
  <c r="B65" i="6"/>
  <c r="E67" i="4"/>
  <c r="F67" i="4"/>
  <c r="G67" i="4"/>
  <c r="B67" i="4"/>
  <c r="D67" i="4"/>
  <c r="C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B68" i="4"/>
  <c r="G68" i="4"/>
  <c r="F68" i="4"/>
  <c r="D68" i="4"/>
  <c r="C68" i="4"/>
  <c r="E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G69" i="4"/>
  <c r="C69" i="4"/>
  <c r="E69" i="4"/>
  <c r="F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C70" i="4"/>
  <c r="F70" i="4"/>
  <c r="B70" i="4"/>
  <c r="G70" i="4"/>
  <c r="E70" i="4"/>
  <c r="D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D71" i="4"/>
  <c r="B71" i="4"/>
  <c r="G71" i="4"/>
  <c r="F71" i="4"/>
  <c r="E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G72" i="4"/>
  <c r="C72" i="4"/>
  <c r="E72" i="4"/>
  <c r="D72" i="4"/>
  <c r="B72" i="4"/>
  <c r="F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F73" i="4"/>
  <c r="D73" i="4"/>
  <c r="E73" i="4"/>
  <c r="C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D74" i="4"/>
  <c r="B74" i="4"/>
  <c r="F74" i="4"/>
  <c r="G74" i="4"/>
  <c r="C74" i="4"/>
  <c r="E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D75" i="4"/>
  <c r="E75" i="4"/>
  <c r="B75" i="4"/>
  <c r="C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D76" i="4"/>
  <c r="E76" i="4"/>
  <c r="G76" i="4"/>
  <c r="F76" i="4"/>
  <c r="C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C77" i="4"/>
  <c r="B77" i="4"/>
  <c r="E77" i="4"/>
  <c r="F77" i="4"/>
  <c r="G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D78" i="4"/>
  <c r="C78" i="4"/>
  <c r="B78" i="4"/>
  <c r="E78" i="4"/>
  <c r="G78" i="4"/>
  <c r="F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C79" i="4"/>
  <c r="F79" i="4"/>
  <c r="B79" i="4"/>
  <c r="G79" i="4"/>
  <c r="E79" i="4"/>
  <c r="D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D80" i="4"/>
  <c r="B80" i="4"/>
  <c r="E80" i="4"/>
  <c r="C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G81" i="4"/>
  <c r="C81" i="4"/>
  <c r="B81" i="4"/>
  <c r="E81" i="4"/>
  <c r="D81" i="4"/>
  <c r="F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E82" i="4"/>
  <c r="D82" i="4"/>
  <c r="B82" i="4"/>
  <c r="F82" i="4"/>
  <c r="C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F83" i="4"/>
  <c r="B83" i="4"/>
  <c r="E83" i="4"/>
  <c r="C83" i="4"/>
  <c r="G83" i="4"/>
  <c r="D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B84" i="4"/>
  <c r="D84" i="4"/>
  <c r="E84" i="4"/>
  <c r="G84" i="4"/>
  <c r="F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D85" i="4"/>
  <c r="E85" i="4"/>
  <c r="B85" i="4"/>
  <c r="C85" i="4"/>
  <c r="F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B86" i="4"/>
  <c r="F86" i="4"/>
  <c r="E86" i="4"/>
  <c r="C86" i="4"/>
  <c r="D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E87" i="4"/>
  <c r="B87" i="4"/>
  <c r="D87" i="4"/>
  <c r="G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C88" i="4"/>
  <c r="B88" i="4"/>
  <c r="G88" i="4"/>
  <c r="D88" i="4"/>
  <c r="E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F89" i="4"/>
  <c r="C89" i="4"/>
  <c r="D89" i="4"/>
  <c r="G89" i="4"/>
  <c r="B89" i="4"/>
  <c r="E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D90" i="4"/>
  <c r="F90" i="4"/>
  <c r="B90" i="4"/>
  <c r="C90" i="4"/>
  <c r="G90" i="4"/>
  <c r="E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E91" i="4"/>
  <c r="G91" i="4"/>
  <c r="F91" i="4"/>
  <c r="D91" i="4"/>
  <c r="B91" i="4"/>
  <c r="C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F92" i="4"/>
  <c r="E92" i="4"/>
  <c r="C92" i="4"/>
  <c r="G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D93" i="4"/>
  <c r="G93" i="4"/>
  <c r="B93" i="4"/>
  <c r="F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E94" i="4"/>
  <c r="F94" i="4"/>
  <c r="G94" i="4"/>
  <c r="D94" i="4"/>
  <c r="C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B95" i="4"/>
  <c r="E95" i="4"/>
  <c r="D95" i="4"/>
  <c r="G95" i="4"/>
  <c r="C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D96" i="4"/>
  <c r="F96" i="4"/>
  <c r="B96" i="4"/>
  <c r="C96" i="4"/>
  <c r="E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F97" i="4"/>
  <c r="G97" i="4"/>
  <c r="E97" i="4"/>
  <c r="D97" i="4"/>
  <c r="B97" i="4"/>
  <c r="C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D98" i="4"/>
  <c r="F98" i="4"/>
  <c r="G98" i="4"/>
  <c r="E98" i="4"/>
  <c r="B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F99" i="4"/>
  <c r="B99" i="4"/>
  <c r="G99" i="4"/>
  <c r="E99" i="4"/>
  <c r="D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E100" i="4"/>
  <c r="C100" i="4"/>
  <c r="D100" i="4"/>
  <c r="F100" i="4"/>
  <c r="G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D101" i="4"/>
  <c r="G101" i="4"/>
  <c r="F101" i="4"/>
  <c r="C101" i="4"/>
  <c r="E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C102" i="4"/>
  <c r="G102" i="4"/>
  <c r="D102" i="4"/>
  <c r="F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C103" i="4"/>
  <c r="B103" i="4"/>
  <c r="D103" i="4"/>
  <c r="G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E104" i="4"/>
  <c r="D104" i="4"/>
  <c r="F104" i="4"/>
  <c r="C104" i="4"/>
  <c r="B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E105" i="4"/>
  <c r="D105" i="4"/>
  <c r="C105" i="4"/>
  <c r="F105" i="4"/>
  <c r="B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B106" i="4"/>
  <c r="F106" i="4"/>
  <c r="C106" i="4"/>
  <c r="G106" i="4"/>
  <c r="D106" i="4"/>
  <c r="E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F107" i="4"/>
  <c r="D107" i="4"/>
  <c r="G107" i="4"/>
  <c r="E107" i="4"/>
  <c r="C107" i="4"/>
  <c r="B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D108" i="4"/>
  <c r="G108" i="4"/>
  <c r="C108" i="4"/>
  <c r="F108" i="4"/>
  <c r="E108" i="4"/>
  <c r="B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C109" i="4"/>
  <c r="E109" i="4"/>
  <c r="D109" i="4"/>
  <c r="B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C110" i="4"/>
  <c r="G110" i="4"/>
  <c r="E110" i="4"/>
  <c r="F110" i="4"/>
  <c r="B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B111" i="4"/>
  <c r="C111" i="4"/>
  <c r="E111" i="4"/>
  <c r="G111" i="4"/>
  <c r="D111" i="4"/>
  <c r="F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C112" i="4"/>
  <c r="G112" i="4"/>
  <c r="B112" i="4"/>
  <c r="E112" i="4"/>
  <c r="D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G113" i="4"/>
  <c r="E113" i="4"/>
  <c r="F113" i="4"/>
  <c r="B113" i="4"/>
  <c r="D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G114" i="4"/>
  <c r="B114" i="4"/>
  <c r="C114" i="4"/>
  <c r="E114" i="4"/>
  <c r="D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D115" i="4"/>
  <c r="F115" i="4"/>
  <c r="B115" i="4"/>
  <c r="E115" i="4"/>
  <c r="G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B116" i="4"/>
  <c r="G116" i="4"/>
  <c r="F116" i="4"/>
  <c r="E116" i="4"/>
  <c r="D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E117" i="4"/>
  <c r="G117" i="4"/>
  <c r="F117" i="4"/>
  <c r="C117" i="4"/>
  <c r="B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D118" i="4"/>
  <c r="B118" i="4"/>
  <c r="G118" i="4"/>
  <c r="F118" i="4"/>
  <c r="C118" i="4"/>
  <c r="E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D119" i="4"/>
  <c r="G119" i="4"/>
  <c r="F119" i="4"/>
  <c r="C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C120" i="4"/>
  <c r="F120" i="4"/>
  <c r="D120" i="4"/>
  <c r="G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E121" i="4"/>
  <c r="D121" i="4"/>
  <c r="C121" i="4"/>
  <c r="B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F122" i="4"/>
  <c r="D122" i="4"/>
  <c r="C122" i="4"/>
  <c r="G122" i="4"/>
  <c r="B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E123" i="4"/>
  <c r="G123" i="4"/>
  <c r="C123" i="4"/>
  <c r="D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B124" i="4"/>
  <c r="G124" i="4"/>
  <c r="D124" i="4"/>
  <c r="E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D125" i="4"/>
  <c r="C125" i="4"/>
  <c r="G125" i="4"/>
  <c r="B125" i="4"/>
  <c r="F125" i="4"/>
  <c r="E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F126" i="4"/>
  <c r="B126" i="4"/>
  <c r="D126" i="4"/>
  <c r="G126" i="4"/>
  <c r="C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G127" i="4"/>
  <c r="E127" i="4"/>
  <c r="D127" i="4"/>
  <c r="C127" i="4"/>
  <c r="F127" i="4"/>
  <c r="B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E128" i="4"/>
  <c r="D128" i="4"/>
  <c r="B128" i="4"/>
  <c r="C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D129" i="4"/>
  <c r="C129" i="4"/>
  <c r="B129" i="4"/>
  <c r="G129" i="4"/>
  <c r="E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G130" i="4"/>
  <c r="D130" i="4"/>
  <c r="F130" i="4"/>
  <c r="E130" i="4"/>
  <c r="C130" i="4"/>
  <c r="B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F131" i="4"/>
  <c r="E131" i="4"/>
  <c r="G131" i="4"/>
  <c r="C131" i="4"/>
  <c r="B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E132" i="4"/>
  <c r="F132" i="4"/>
  <c r="D132" i="4"/>
  <c r="C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D133" i="4"/>
  <c r="E133" i="4"/>
  <c r="F133" i="4"/>
  <c r="B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F134" i="4"/>
  <c r="B134" i="4"/>
  <c r="E134" i="4"/>
  <c r="C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D135" i="4"/>
  <c r="E135" i="4"/>
  <c r="B135" i="4"/>
  <c r="G135" i="4"/>
  <c r="C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C136" i="4"/>
  <c r="F136" i="4"/>
  <c r="D136" i="4"/>
  <c r="E136" i="4"/>
  <c r="G136" i="4"/>
  <c r="B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G137" i="4"/>
  <c r="E137" i="4"/>
  <c r="C137" i="4"/>
  <c r="F137" i="4"/>
  <c r="D137" i="4"/>
  <c r="B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F138" i="4"/>
  <c r="E138" i="4"/>
  <c r="B138" i="4"/>
  <c r="G138" i="4"/>
  <c r="D138" i="4"/>
  <c r="C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F139" i="4"/>
  <c r="C139" i="4"/>
  <c r="D139" i="4"/>
  <c r="G139" i="4"/>
  <c r="B139" i="4"/>
  <c r="E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F140" i="4"/>
  <c r="D140" i="4"/>
  <c r="G140" i="4"/>
  <c r="E140" i="4"/>
  <c r="B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E141" i="4"/>
  <c r="F141" i="4"/>
  <c r="B141" i="4"/>
  <c r="D141" i="4"/>
  <c r="G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C142" i="4"/>
  <c r="D142" i="4"/>
  <c r="B142" i="4"/>
  <c r="E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E143" i="4"/>
  <c r="D143" i="4"/>
  <c r="G143" i="4"/>
  <c r="C143" i="4"/>
  <c r="F143" i="4"/>
  <c r="B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B144" i="4"/>
  <c r="F144" i="4"/>
  <c r="E144" i="4"/>
  <c r="G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G145" i="4"/>
  <c r="C145" i="4"/>
  <c r="E145" i="4"/>
  <c r="D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E146" i="4"/>
  <c r="G146" i="4"/>
  <c r="B146" i="4"/>
  <c r="C146" i="4"/>
  <c r="F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G147" i="4"/>
  <c r="B147" i="4"/>
  <c r="C147" i="4"/>
  <c r="E147" i="4"/>
  <c r="F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E148" i="4"/>
  <c r="B148" i="4"/>
  <c r="D148" i="4"/>
  <c r="G148" i="4"/>
  <c r="F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B149" i="4"/>
  <c r="F149" i="4"/>
  <c r="C149" i="4"/>
  <c r="G149" i="4"/>
  <c r="D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D150" i="4"/>
  <c r="C150" i="4"/>
  <c r="E150" i="4"/>
  <c r="B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E151" i="4"/>
  <c r="C151" i="4"/>
  <c r="F151" i="4"/>
  <c r="D151" i="4"/>
  <c r="G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B152" i="4"/>
  <c r="F152" i="4"/>
  <c r="C152" i="4"/>
  <c r="E152" i="4"/>
  <c r="D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C153" i="4"/>
  <c r="F153" i="4"/>
  <c r="D153" i="4"/>
  <c r="E153" i="4"/>
  <c r="B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B154" i="4"/>
  <c r="D154" i="4"/>
  <c r="G154" i="4"/>
  <c r="E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C155" i="4"/>
  <c r="D155" i="4"/>
  <c r="G155" i="4"/>
  <c r="B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G156" i="4"/>
  <c r="F156" i="4"/>
  <c r="C156" i="4"/>
  <c r="D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B157" i="4"/>
  <c r="G157" i="4"/>
  <c r="E157" i="4"/>
  <c r="D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B158" i="4"/>
  <c r="D158" i="4"/>
  <c r="E158" i="4"/>
  <c r="C158" i="4"/>
  <c r="F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G159" i="4"/>
  <c r="E159" i="4"/>
  <c r="D159" i="4"/>
  <c r="B159" i="4"/>
  <c r="F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E160" i="4"/>
  <c r="B160" i="4"/>
  <c r="F160" i="4"/>
  <c r="G160" i="4"/>
  <c r="D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E161" i="4"/>
  <c r="F161" i="4"/>
  <c r="B161" i="4"/>
  <c r="G161" i="4"/>
  <c r="C161" i="4"/>
  <c r="D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F162" i="4"/>
  <c r="B162" i="4"/>
  <c r="E162" i="4"/>
  <c r="D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B163" i="4"/>
  <c r="E163" i="4"/>
  <c r="F163" i="4"/>
  <c r="D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C164" i="4"/>
  <c r="B164" i="4"/>
  <c r="D164" i="4"/>
  <c r="F164" i="4"/>
  <c r="E164" i="4"/>
  <c r="G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E165" i="4"/>
  <c r="F165" i="4"/>
  <c r="C165" i="4"/>
  <c r="G165" i="4"/>
  <c r="D165" i="4"/>
  <c r="B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C166" i="4"/>
  <c r="E166" i="4"/>
  <c r="G166" i="4"/>
  <c r="F166" i="4"/>
  <c r="B166" i="4"/>
  <c r="D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G167" i="4"/>
  <c r="E167" i="4"/>
  <c r="C167" i="4"/>
  <c r="F167" i="4"/>
  <c r="B167" i="4"/>
  <c r="D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D168" i="4"/>
  <c r="B168" i="4"/>
  <c r="F168" i="4"/>
  <c r="E168" i="4"/>
  <c r="C168" i="4"/>
  <c r="G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B169" i="4"/>
  <c r="E169" i="4"/>
  <c r="C169" i="4"/>
  <c r="D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G170" i="4"/>
  <c r="E170" i="4"/>
  <c r="C170" i="4"/>
  <c r="F170" i="4"/>
  <c r="B170" i="4"/>
  <c r="D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D171" i="4"/>
  <c r="G171" i="4"/>
  <c r="E171" i="4"/>
  <c r="B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D172" i="4"/>
  <c r="C172" i="4"/>
  <c r="G172" i="4"/>
  <c r="F172" i="4"/>
  <c r="E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G173" i="4"/>
  <c r="E173" i="4"/>
  <c r="B173" i="4"/>
  <c r="D173" i="4"/>
  <c r="C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D174" i="4"/>
  <c r="B174" i="4"/>
  <c r="G174" i="4"/>
  <c r="F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C175" i="4"/>
  <c r="G175" i="4"/>
  <c r="E175" i="4"/>
  <c r="B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F176" i="4"/>
  <c r="C176" i="4"/>
  <c r="B176" i="4"/>
  <c r="G176" i="4"/>
  <c r="D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B177" i="4"/>
  <c r="G177" i="4"/>
  <c r="F177" i="4"/>
  <c r="C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B178" i="4"/>
  <c r="D178" i="4"/>
  <c r="G178" i="4"/>
  <c r="E178" i="4"/>
  <c r="F178" i="4"/>
  <c r="C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G179" i="4"/>
  <c r="B179" i="4"/>
  <c r="E179" i="4"/>
  <c r="F179" i="4"/>
  <c r="D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F180" i="4"/>
  <c r="G180" i="4"/>
  <c r="C180" i="4"/>
  <c r="D180" i="4"/>
  <c r="B180" i="4"/>
  <c r="E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E181" i="4"/>
  <c r="D181" i="4"/>
  <c r="F181" i="4"/>
  <c r="G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F182" i="4"/>
  <c r="B182" i="4"/>
  <c r="E182" i="4"/>
  <c r="C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E183" i="4"/>
  <c r="B183" i="4"/>
  <c r="D183" i="4"/>
  <c r="F183" i="4"/>
  <c r="C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G184" i="4"/>
  <c r="D184" i="4"/>
  <c r="B184" i="4"/>
  <c r="F184" i="4"/>
  <c r="C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G185" i="4"/>
  <c r="B185" i="4"/>
  <c r="F185" i="4"/>
  <c r="D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E186" i="4"/>
  <c r="G186" i="4"/>
  <c r="B186" i="4"/>
  <c r="D186" i="4"/>
  <c r="F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D187" i="4"/>
  <c r="F187" i="4"/>
  <c r="E187" i="4"/>
  <c r="B187" i="4"/>
  <c r="C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E188" i="4"/>
  <c r="F188" i="4"/>
  <c r="C188" i="4"/>
  <c r="B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F189" i="4"/>
  <c r="G189" i="4"/>
  <c r="B189" i="4"/>
  <c r="E189" i="4"/>
  <c r="C189" i="4"/>
  <c r="D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B190" i="4"/>
  <c r="G190" i="4"/>
  <c r="D190" i="4"/>
  <c r="F190" i="4"/>
  <c r="E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C191" i="4"/>
  <c r="E191" i="4"/>
  <c r="F191" i="4"/>
  <c r="G191" i="4"/>
  <c r="B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B192" i="4"/>
  <c r="D192" i="4"/>
  <c r="G192" i="4"/>
  <c r="E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E193" i="4"/>
  <c r="D193" i="4"/>
  <c r="F193" i="4"/>
  <c r="B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G194" i="4"/>
  <c r="D194" i="4"/>
  <c r="E194" i="4"/>
  <c r="F194" i="4"/>
  <c r="B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G195" i="4"/>
  <c r="F195" i="4"/>
  <c r="C195" i="4"/>
  <c r="E195" i="4"/>
  <c r="D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G196" i="4"/>
  <c r="B196" i="4"/>
  <c r="F196" i="4"/>
  <c r="E196" i="4"/>
  <c r="D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D197" i="4"/>
  <c r="F197" i="4"/>
  <c r="B197" i="4"/>
  <c r="C197" i="4"/>
  <c r="E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G198" i="4"/>
  <c r="F198" i="4"/>
  <c r="C198" i="4"/>
  <c r="D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F199" i="4"/>
  <c r="E199" i="4"/>
  <c r="B199" i="4"/>
  <c r="G199" i="4"/>
  <c r="D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F200" i="4"/>
  <c r="E200" i="4"/>
  <c r="C200" i="4"/>
  <c r="B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F201" i="4"/>
  <c r="G201" i="4"/>
  <c r="D201" i="4"/>
  <c r="B201" i="4"/>
  <c r="C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G202" i="4"/>
  <c r="B202" i="4"/>
  <c r="E202" i="4"/>
  <c r="D202" i="4"/>
  <c r="C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G203" i="4"/>
  <c r="B203" i="4"/>
  <c r="E203" i="4"/>
  <c r="F203" i="4"/>
  <c r="C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D204" i="4"/>
  <c r="G204" i="4"/>
  <c r="E204" i="4"/>
  <c r="F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C205" i="4"/>
  <c r="B205" i="4"/>
  <c r="E205" i="4"/>
  <c r="F205" i="4"/>
  <c r="G205" i="4"/>
  <c r="D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D206" i="4"/>
  <c r="E206" i="4"/>
  <c r="G206" i="4"/>
  <c r="F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C207" i="4"/>
  <c r="G207" i="4"/>
  <c r="E207" i="4"/>
  <c r="D207" i="4"/>
  <c r="B207" i="4"/>
  <c r="F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B208" i="4"/>
  <c r="E208" i="4"/>
  <c r="G208" i="4"/>
  <c r="F208" i="4"/>
  <c r="C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E209" i="4"/>
  <c r="F209" i="4"/>
  <c r="D209" i="4"/>
  <c r="G209" i="4"/>
  <c r="C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G210" i="4"/>
  <c r="F210" i="4"/>
  <c r="E210" i="4"/>
  <c r="C210" i="4"/>
  <c r="B210" i="4"/>
  <c r="D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G211" i="4"/>
  <c r="F211" i="4"/>
  <c r="E211" i="4"/>
  <c r="D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B212" i="4"/>
  <c r="E212" i="4"/>
  <c r="F212" i="4"/>
  <c r="D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F213" i="4"/>
  <c r="D213" i="4"/>
  <c r="C213" i="4"/>
  <c r="B213" i="4"/>
  <c r="G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F214" i="4"/>
  <c r="D214" i="4"/>
  <c r="C214" i="4"/>
  <c r="G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C215" i="4"/>
  <c r="D215" i="4"/>
  <c r="E215" i="4"/>
  <c r="B215" i="4"/>
  <c r="F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G216" i="4"/>
  <c r="B216" i="4"/>
  <c r="F216" i="4"/>
  <c r="E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D217" i="4"/>
  <c r="B217" i="4"/>
  <c r="E217" i="4"/>
  <c r="F217" i="4"/>
  <c r="C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C218" i="4"/>
  <c r="E218" i="4"/>
  <c r="D218" i="4"/>
  <c r="B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F219" i="4"/>
  <c r="D219" i="4"/>
  <c r="E219" i="4"/>
  <c r="C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G220" i="4"/>
  <c r="C220" i="4"/>
  <c r="D220" i="4"/>
  <c r="F220" i="4"/>
  <c r="E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G221" i="4"/>
  <c r="C221" i="4"/>
  <c r="E221" i="4"/>
  <c r="B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D222" i="4"/>
  <c r="C222" i="4"/>
  <c r="F222" i="4"/>
  <c r="G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D223" i="4"/>
  <c r="B223" i="4"/>
  <c r="F223" i="4"/>
  <c r="E223" i="4"/>
  <c r="C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D224" i="4"/>
  <c r="G224" i="4"/>
  <c r="C224" i="4"/>
  <c r="B224" i="4"/>
  <c r="E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E225" i="4"/>
  <c r="C225" i="4"/>
  <c r="B225" i="4"/>
  <c r="F225" i="4"/>
  <c r="G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B226" i="4"/>
  <c r="F226" i="4"/>
  <c r="D226" i="4"/>
  <c r="E226" i="4"/>
  <c r="C226" i="4"/>
  <c r="G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C227" i="4"/>
  <c r="F227" i="4"/>
  <c r="E227" i="4"/>
  <c r="B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C228" i="4"/>
  <c r="E228" i="4"/>
  <c r="F228" i="4"/>
  <c r="D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G229" i="4"/>
  <c r="D229" i="4"/>
  <c r="C229" i="4"/>
  <c r="B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D230" i="4"/>
  <c r="G230" i="4"/>
  <c r="B230" i="4"/>
  <c r="C230" i="4"/>
  <c r="E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G231" i="4"/>
  <c r="D231" i="4"/>
  <c r="E231" i="4"/>
  <c r="B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G232" i="4"/>
  <c r="D232" i="4"/>
  <c r="C232" i="4"/>
  <c r="F232" i="4"/>
  <c r="E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C233" i="4"/>
  <c r="F233" i="4"/>
  <c r="G233" i="4"/>
  <c r="D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F234" i="4"/>
  <c r="D234" i="4"/>
  <c r="B234" i="4"/>
  <c r="E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F235" i="4"/>
  <c r="D235" i="4"/>
  <c r="B235" i="4"/>
  <c r="C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E236" i="4"/>
  <c r="F236" i="4"/>
  <c r="C236" i="4"/>
  <c r="D236" i="4"/>
  <c r="B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G237" i="4"/>
  <c r="D237" i="4"/>
  <c r="B237" i="4"/>
  <c r="F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E238" i="4"/>
  <c r="G238" i="4"/>
  <c r="C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B239" i="4"/>
  <c r="C239" i="4"/>
  <c r="E239" i="4"/>
  <c r="G239" i="4"/>
  <c r="D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F240" i="4"/>
  <c r="C240" i="4"/>
  <c r="G240" i="4"/>
  <c r="E240" i="4"/>
  <c r="D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G241" i="4"/>
  <c r="B241" i="4"/>
  <c r="F241" i="4"/>
  <c r="C241" i="4"/>
  <c r="E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F242" i="4"/>
  <c r="G242" i="4"/>
  <c r="C242" i="4"/>
  <c r="E242" i="4"/>
  <c r="B242" i="4"/>
  <c r="D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F243" i="4"/>
  <c r="C243" i="4"/>
  <c r="E243" i="4"/>
  <c r="B243" i="4"/>
  <c r="D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G244" i="4"/>
  <c r="E244" i="4"/>
  <c r="C244" i="4"/>
  <c r="F244" i="4"/>
  <c r="D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D245" i="4"/>
  <c r="G245" i="4"/>
  <c r="F245" i="4"/>
  <c r="C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D246" i="4"/>
  <c r="E246" i="4"/>
  <c r="C246" i="4"/>
  <c r="B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E247" i="4"/>
  <c r="F247" i="4"/>
  <c r="G247" i="4"/>
  <c r="B247" i="4"/>
  <c r="C247" i="4"/>
  <c r="D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F248" i="4"/>
  <c r="G248" i="4"/>
  <c r="D248" i="4"/>
  <c r="E248" i="4"/>
  <c r="B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G249" i="4"/>
  <c r="B249" i="4"/>
  <c r="D249" i="4"/>
  <c r="E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D250" i="4"/>
  <c r="G250" i="4"/>
  <c r="C250" i="4"/>
  <c r="F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E251" i="4"/>
  <c r="D251" i="4"/>
  <c r="F251" i="4"/>
  <c r="C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E252" i="4"/>
  <c r="G252" i="4"/>
  <c r="D252" i="4"/>
  <c r="C252" i="4"/>
  <c r="B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D253" i="4"/>
  <c r="F253" i="4"/>
  <c r="C253" i="4"/>
  <c r="E253" i="4"/>
  <c r="B253" i="4"/>
  <c r="G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E254" i="4"/>
  <c r="B254" i="4"/>
  <c r="C254" i="4"/>
  <c r="G254" i="4"/>
  <c r="F254" i="4"/>
  <c r="D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B255" i="4"/>
  <c r="G255" i="4"/>
  <c r="E255" i="4"/>
  <c r="D255" i="4"/>
  <c r="C255" i="4"/>
  <c r="F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E256" i="4"/>
  <c r="F256" i="4"/>
  <c r="B256" i="4"/>
  <c r="D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D257" i="4"/>
  <c r="G257" i="4"/>
  <c r="B257" i="4"/>
  <c r="E257" i="4"/>
  <c r="F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B258" i="4"/>
  <c r="E258" i="4"/>
  <c r="D258" i="4"/>
  <c r="F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G259" i="4"/>
  <c r="E259" i="4"/>
  <c r="B259" i="4"/>
  <c r="F259" i="4"/>
  <c r="D259" i="4"/>
  <c r="C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C260" i="4"/>
  <c r="G260" i="4"/>
  <c r="B260" i="4"/>
  <c r="D260" i="4"/>
  <c r="F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D261" i="4"/>
  <c r="G261" i="4"/>
  <c r="F261" i="4"/>
  <c r="C261" i="4"/>
  <c r="E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D262" i="4"/>
  <c r="F262" i="4"/>
  <c r="G262" i="4"/>
  <c r="C262" i="4"/>
  <c r="E262" i="4"/>
  <c r="B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B263" i="4"/>
  <c r="F263" i="4"/>
  <c r="D263" i="4"/>
  <c r="E263" i="4"/>
  <c r="C263" i="4"/>
  <c r="G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B264" i="4"/>
  <c r="G264" i="4"/>
  <c r="D264" i="4"/>
  <c r="E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D265" i="4"/>
  <c r="E265" i="4"/>
  <c r="C265" i="4"/>
  <c r="B265" i="4"/>
  <c r="G265" i="4"/>
  <c r="F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E266" i="4"/>
  <c r="G266" i="4"/>
  <c r="B266" i="4"/>
  <c r="F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C267" i="4"/>
  <c r="B267" i="4"/>
  <c r="D267" i="4"/>
  <c r="E267" i="4"/>
  <c r="G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F268" i="4"/>
  <c r="G268" i="4"/>
  <c r="C268" i="4"/>
  <c r="E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E269" i="4"/>
  <c r="B269" i="4"/>
  <c r="G269" i="4"/>
  <c r="D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G270" i="4"/>
  <c r="B270" i="4"/>
  <c r="F270" i="4"/>
  <c r="C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C271" i="4"/>
  <c r="E271" i="4"/>
  <c r="B271" i="4"/>
  <c r="F271" i="4"/>
  <c r="G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B272" i="4"/>
  <c r="F272" i="4"/>
  <c r="C272" i="4"/>
  <c r="E272" i="4"/>
  <c r="D272" i="4"/>
  <c r="G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B273" i="4"/>
  <c r="E273" i="4"/>
  <c r="D273" i="4"/>
  <c r="G273" i="4"/>
  <c r="F273" i="4"/>
  <c r="C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F274" i="4"/>
  <c r="E274" i="4"/>
  <c r="G274" i="4"/>
  <c r="B274" i="4"/>
  <c r="C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C275" i="4"/>
  <c r="F275" i="4"/>
  <c r="B275" i="4"/>
  <c r="G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F276" i="4"/>
  <c r="D276" i="4"/>
  <c r="B276" i="4"/>
  <c r="G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F277" i="4"/>
  <c r="D277" i="4"/>
  <c r="B277" i="4"/>
  <c r="C277" i="4"/>
  <c r="E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G278" i="4"/>
  <c r="F278" i="4"/>
  <c r="C278" i="4"/>
  <c r="B278" i="4"/>
  <c r="E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G279" i="4"/>
  <c r="D279" i="4"/>
  <c r="B279" i="4"/>
  <c r="E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F280" i="4"/>
  <c r="D280" i="4"/>
  <c r="G280" i="4"/>
  <c r="B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E281" i="4"/>
  <c r="G281" i="4"/>
  <c r="F281" i="4"/>
  <c r="D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D282" i="4"/>
  <c r="E282" i="4"/>
  <c r="G282" i="4"/>
  <c r="C282" i="4"/>
  <c r="F282" i="4"/>
  <c r="B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G283" i="4"/>
  <c r="B283" i="4"/>
  <c r="F283" i="4"/>
  <c r="D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G284" i="4"/>
  <c r="D284" i="4"/>
  <c r="E284" i="4"/>
  <c r="B284" i="4"/>
  <c r="F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G285" i="4"/>
  <c r="C285" i="4"/>
  <c r="E285" i="4"/>
  <c r="F285" i="4"/>
  <c r="B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E286" i="4"/>
  <c r="D286" i="4"/>
  <c r="C286" i="4"/>
  <c r="B286" i="4"/>
  <c r="F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D287" i="4"/>
  <c r="F287" i="4"/>
  <c r="B287" i="4"/>
  <c r="C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E288" i="4"/>
  <c r="F288" i="4"/>
  <c r="C288" i="4"/>
  <c r="D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G289" i="4"/>
  <c r="B289" i="4"/>
  <c r="E289" i="4"/>
  <c r="C289" i="4"/>
  <c r="D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G290" i="4"/>
  <c r="B290" i="4"/>
  <c r="C290" i="4"/>
  <c r="E290" i="4"/>
  <c r="D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D291" i="4"/>
  <c r="B291" i="4"/>
  <c r="G291" i="4"/>
  <c r="F291" i="4"/>
  <c r="C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D292" i="4"/>
  <c r="E292" i="4"/>
  <c r="C292" i="4"/>
  <c r="G292" i="4"/>
  <c r="F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E293" i="4"/>
  <c r="C293" i="4"/>
  <c r="F293" i="4"/>
  <c r="G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F294" i="4"/>
  <c r="B294" i="4"/>
  <c r="G294" i="4"/>
  <c r="E294" i="4"/>
  <c r="D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D295" i="4"/>
  <c r="B295" i="4"/>
  <c r="F295" i="4"/>
  <c r="E295" i="4"/>
  <c r="G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D296" i="4"/>
  <c r="F296" i="4"/>
  <c r="C296" i="4"/>
  <c r="G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D297" i="4"/>
  <c r="G297" i="4"/>
  <c r="B297" i="4"/>
  <c r="F297" i="4"/>
  <c r="C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F298" i="4"/>
  <c r="B298" i="4"/>
  <c r="G298" i="4"/>
  <c r="E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C299" i="4"/>
  <c r="F299" i="4"/>
  <c r="D299" i="4"/>
  <c r="E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C300" i="4"/>
  <c r="B300" i="4"/>
  <c r="E300" i="4"/>
  <c r="D300" i="4"/>
  <c r="F300" i="4"/>
  <c r="G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F301" i="4"/>
  <c r="G301" i="4"/>
  <c r="C301" i="4"/>
  <c r="E301" i="4"/>
  <c r="D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D302" i="4"/>
  <c r="E302" i="4"/>
  <c r="C302" i="4"/>
  <c r="F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G303" i="4"/>
  <c r="F303" i="4"/>
  <c r="C303" i="4"/>
  <c r="B303" i="4"/>
  <c r="E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F304" i="4"/>
  <c r="E304" i="4"/>
  <c r="C304" i="4"/>
  <c r="G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D305" i="4"/>
  <c r="F305" i="4"/>
  <c r="E305" i="4"/>
  <c r="G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B306" i="4"/>
  <c r="C306" i="4"/>
  <c r="F306" i="4"/>
  <c r="E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C307" i="4"/>
  <c r="B307" i="4"/>
  <c r="D307" i="4"/>
  <c r="E307" i="4"/>
  <c r="F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E308" i="4"/>
  <c r="C308" i="4"/>
  <c r="G308" i="4"/>
  <c r="F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C309" i="4"/>
  <c r="G309" i="4"/>
  <c r="E309" i="4"/>
  <c r="B309" i="4"/>
  <c r="F309" i="4"/>
  <c r="D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G310" i="4"/>
  <c r="B310" i="4"/>
  <c r="E310" i="4"/>
  <c r="C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G311" i="4"/>
  <c r="D311" i="4"/>
  <c r="F311" i="4"/>
  <c r="B311" i="4"/>
  <c r="E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G312" i="4"/>
  <c r="D312" i="4"/>
  <c r="B312" i="4"/>
  <c r="F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E313" i="4"/>
  <c r="C313" i="4"/>
  <c r="F313" i="4"/>
  <c r="G313" i="4"/>
  <c r="B313" i="4"/>
  <c r="D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E314" i="4"/>
  <c r="D314" i="4"/>
  <c r="G314" i="4"/>
  <c r="B314" i="4"/>
  <c r="F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G315" i="4"/>
  <c r="C315" i="4"/>
  <c r="E315" i="4"/>
  <c r="F315" i="4"/>
  <c r="B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B316" i="4"/>
  <c r="F316" i="4"/>
  <c r="E316" i="4"/>
  <c r="G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E317" i="4"/>
  <c r="C317" i="4"/>
  <c r="B317" i="4"/>
  <c r="F317" i="4"/>
  <c r="G317" i="4"/>
  <c r="D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E318" i="4"/>
  <c r="G318" i="4"/>
  <c r="D318" i="4"/>
  <c r="B318" i="4"/>
  <c r="C318" i="4"/>
  <c r="F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B319" i="4"/>
  <c r="G319" i="4"/>
  <c r="F319" i="4"/>
  <c r="C319" i="4"/>
  <c r="D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G320" i="4"/>
  <c r="E320" i="4"/>
  <c r="C320" i="4"/>
  <c r="B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C321" i="4"/>
  <c r="D321" i="4"/>
  <c r="G321" i="4"/>
  <c r="F321" i="4"/>
  <c r="B321" i="4"/>
  <c r="E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G322" i="4"/>
  <c r="D322" i="4"/>
  <c r="F322" i="4"/>
  <c r="B322" i="4"/>
  <c r="E322" i="4"/>
  <c r="C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B323" i="4"/>
  <c r="G323" i="4"/>
  <c r="E323" i="4"/>
  <c r="C323" i="4"/>
  <c r="D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F324" i="4"/>
  <c r="D324" i="4"/>
  <c r="B324" i="4"/>
  <c r="G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D325" i="4"/>
  <c r="B325" i="4"/>
  <c r="G325" i="4"/>
  <c r="C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E326" i="4"/>
  <c r="B326" i="4"/>
  <c r="D326" i="4"/>
  <c r="F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G327" i="4"/>
  <c r="C327" i="4"/>
  <c r="B327" i="4"/>
  <c r="E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B328" i="4"/>
  <c r="G328" i="4"/>
  <c r="C328" i="4"/>
  <c r="D328" i="4"/>
  <c r="E328" i="4"/>
  <c r="F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G329" i="4"/>
  <c r="F329" i="4"/>
  <c r="B329" i="4"/>
  <c r="C329" i="4"/>
  <c r="D329" i="4"/>
  <c r="E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F330" i="4"/>
  <c r="D330" i="4"/>
  <c r="G330" i="4"/>
  <c r="E330" i="4"/>
  <c r="C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D331" i="4"/>
  <c r="B331" i="4"/>
  <c r="E331" i="4"/>
  <c r="C331" i="4"/>
  <c r="F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D332" i="4"/>
  <c r="G332" i="4"/>
  <c r="E332" i="4"/>
  <c r="B332" i="4"/>
  <c r="F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D333" i="4"/>
  <c r="F333" i="4"/>
  <c r="B333" i="4"/>
  <c r="G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F334" i="4"/>
  <c r="C334" i="4"/>
  <c r="B334" i="4"/>
  <c r="D334" i="4"/>
  <c r="E334" i="4"/>
  <c r="G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G335" i="4"/>
  <c r="B335" i="4"/>
  <c r="D335" i="4"/>
  <c r="F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B336" i="4"/>
  <c r="D336" i="4"/>
  <c r="E336" i="4"/>
  <c r="F336" i="4"/>
  <c r="C336" i="4"/>
  <c r="G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G337" i="4"/>
  <c r="B337" i="4"/>
  <c r="E337" i="4"/>
  <c r="D337" i="4"/>
  <c r="F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G338" i="4"/>
  <c r="C338" i="4"/>
  <c r="F338" i="4"/>
  <c r="B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D339" i="4"/>
  <c r="G339" i="4"/>
  <c r="C339" i="4"/>
  <c r="B339" i="4"/>
  <c r="F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E340" i="4"/>
  <c r="D340" i="4"/>
  <c r="F340" i="4"/>
  <c r="G340" i="4"/>
  <c r="C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B341" i="4"/>
  <c r="G341" i="4"/>
  <c r="D341" i="4"/>
  <c r="F341" i="4"/>
  <c r="C341" i="4"/>
  <c r="E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E342" i="4"/>
  <c r="C342" i="4"/>
  <c r="D342" i="4"/>
  <c r="B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D343" i="4"/>
  <c r="B343" i="4"/>
  <c r="E343" i="4"/>
  <c r="C343" i="4"/>
  <c r="F343" i="4"/>
  <c r="G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F344" i="4"/>
  <c r="E344" i="4"/>
  <c r="C344" i="4"/>
  <c r="G344" i="4"/>
  <c r="B344" i="4"/>
  <c r="D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F345" i="4"/>
  <c r="C345" i="4"/>
  <c r="D345" i="4"/>
  <c r="B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G346" i="4"/>
  <c r="D346" i="4"/>
  <c r="E346" i="4"/>
  <c r="C346" i="4"/>
  <c r="F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E347" i="4"/>
  <c r="B347" i="4"/>
  <c r="D347" i="4"/>
  <c r="C347" i="4"/>
  <c r="F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D348" i="4"/>
  <c r="E348" i="4"/>
  <c r="B348" i="4"/>
  <c r="F348" i="4"/>
  <c r="G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D349" i="4"/>
  <c r="G349" i="4"/>
  <c r="E349" i="4"/>
  <c r="F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D350" i="4"/>
  <c r="C350" i="4"/>
  <c r="E350" i="4"/>
  <c r="B350" i="4"/>
  <c r="F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C351" i="4"/>
  <c r="F351" i="4"/>
  <c r="B351" i="4"/>
  <c r="G351" i="4"/>
  <c r="D351" i="4"/>
  <c r="E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G352" i="4"/>
  <c r="D352" i="4"/>
  <c r="F352" i="4"/>
  <c r="E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B353" i="4"/>
  <c r="E353" i="4"/>
  <c r="F353" i="4"/>
  <c r="G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C354" i="4"/>
  <c r="F354" i="4"/>
  <c r="B354" i="4"/>
  <c r="D354" i="4"/>
  <c r="G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G355" i="4"/>
  <c r="F355" i="4"/>
  <c r="D355" i="4"/>
  <c r="C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G356" i="4"/>
  <c r="E356" i="4"/>
  <c r="F356" i="4"/>
  <c r="C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B357" i="4"/>
  <c r="E357" i="4"/>
  <c r="G357" i="4"/>
  <c r="F357" i="4"/>
  <c r="C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B358" i="4"/>
  <c r="F358" i="4"/>
  <c r="D358" i="4"/>
  <c r="C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F359" i="4"/>
  <c r="D359" i="4"/>
  <c r="C359" i="4"/>
  <c r="B359" i="4"/>
  <c r="G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E360" i="4"/>
  <c r="B360" i="4"/>
  <c r="G360" i="4"/>
  <c r="C360" i="4"/>
  <c r="D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G361" i="4"/>
  <c r="B361" i="4"/>
  <c r="E361" i="4"/>
  <c r="D361" i="4"/>
  <c r="F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G362" i="4"/>
  <c r="F362" i="4"/>
  <c r="D362" i="4"/>
  <c r="B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D363" i="4"/>
  <c r="E363" i="4"/>
  <c r="B363" i="4"/>
  <c r="G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F364" i="4"/>
  <c r="D364" i="4"/>
  <c r="B364" i="4"/>
  <c r="C364" i="4"/>
  <c r="E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B365" i="4"/>
  <c r="E365" i="4"/>
  <c r="D365" i="4"/>
  <c r="F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F366" i="4"/>
  <c r="C366" i="4"/>
  <c r="D366" i="4"/>
  <c r="B366" i="4"/>
  <c r="G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F367" i="4"/>
  <c r="B367" i="4"/>
  <c r="D367" i="4"/>
  <c r="G367" i="4"/>
  <c r="C367" i="4"/>
  <c r="E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C368" i="4"/>
  <c r="F368" i="4"/>
  <c r="B368" i="4"/>
  <c r="E368" i="4"/>
  <c r="G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G369" i="4"/>
  <c r="C369" i="4"/>
  <c r="D369" i="4"/>
  <c r="F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D370" i="4"/>
  <c r="E370" i="4"/>
  <c r="C370" i="4"/>
  <c r="F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F371" i="4"/>
  <c r="C371" i="4"/>
  <c r="E371" i="4"/>
  <c r="D371" i="4"/>
  <c r="B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F372" i="4"/>
  <c r="C372" i="4"/>
  <c r="D372" i="4"/>
  <c r="E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F373" i="4"/>
  <c r="B373" i="4"/>
  <c r="G373" i="4"/>
  <c r="E373" i="4"/>
  <c r="D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E374" i="4"/>
  <c r="C374" i="4"/>
  <c r="G374" i="4"/>
  <c r="D374" i="4"/>
  <c r="F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F375" i="4"/>
  <c r="D375" i="4"/>
  <c r="E375" i="4"/>
  <c r="C375" i="4"/>
  <c r="B375" i="4"/>
  <c r="G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B376" i="4"/>
  <c r="F376" i="4"/>
  <c r="D376" i="4"/>
  <c r="C376" i="4"/>
  <c r="E376" i="4"/>
  <c r="G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E377" i="4"/>
  <c r="G377" i="4"/>
  <c r="B377" i="4"/>
  <c r="D377" i="4"/>
  <c r="F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E378" i="4"/>
  <c r="C378" i="4"/>
  <c r="B378" i="4"/>
  <c r="D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C379" i="4"/>
  <c r="B379" i="4"/>
  <c r="G379" i="4"/>
  <c r="D379" i="4"/>
  <c r="E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G380" i="4"/>
  <c r="F380" i="4"/>
  <c r="E380" i="4"/>
  <c r="B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F381" i="4"/>
  <c r="C381" i="4"/>
  <c r="G381" i="4"/>
  <c r="E381" i="4"/>
  <c r="B381" i="4"/>
  <c r="D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G382" i="4"/>
  <c r="D382" i="4"/>
  <c r="C382" i="4"/>
  <c r="F382" i="4"/>
  <c r="B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G383" i="4"/>
  <c r="B383" i="4"/>
  <c r="E383" i="4"/>
  <c r="D383" i="4"/>
  <c r="F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D384" i="4"/>
  <c r="E384" i="4"/>
  <c r="B384" i="4"/>
  <c r="F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B385" i="4"/>
  <c r="F385" i="4"/>
  <c r="C385" i="4"/>
  <c r="G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F386" i="4"/>
  <c r="C386" i="4"/>
  <c r="B386" i="4"/>
  <c r="G386" i="4"/>
  <c r="D386" i="4"/>
  <c r="E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G387" i="4"/>
  <c r="E387" i="4"/>
  <c r="D387" i="4"/>
  <c r="C387" i="4"/>
  <c r="B387" i="4"/>
  <c r="F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E388" i="4"/>
  <c r="F388" i="4"/>
  <c r="G388" i="4"/>
  <c r="B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E389" i="4"/>
  <c r="F389" i="4"/>
  <c r="D389" i="4"/>
  <c r="B389" i="4"/>
  <c r="C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D390" i="4"/>
  <c r="E390" i="4"/>
  <c r="B390" i="4"/>
  <c r="F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D391" i="4"/>
  <c r="G391" i="4"/>
  <c r="F391" i="4"/>
  <c r="E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D392" i="4"/>
  <c r="E392" i="4"/>
  <c r="B392" i="4"/>
  <c r="C392" i="4"/>
  <c r="G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D393" i="4"/>
  <c r="C393" i="4"/>
  <c r="F393" i="4"/>
  <c r="G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D394" i="4"/>
  <c r="G394" i="4"/>
  <c r="B394" i="4"/>
  <c r="E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F395" i="4"/>
  <c r="B395" i="4"/>
  <c r="D395" i="4"/>
  <c r="C395" i="4"/>
  <c r="G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E396" i="4"/>
  <c r="B396" i="4"/>
  <c r="D396" i="4"/>
  <c r="F396" i="4"/>
  <c r="G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B397" i="4"/>
  <c r="D397" i="4"/>
  <c r="C397" i="4"/>
  <c r="E397" i="4"/>
  <c r="F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D398" i="4"/>
  <c r="B398" i="4"/>
  <c r="E398" i="4"/>
  <c r="F398" i="4"/>
  <c r="C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F399" i="4"/>
  <c r="D399" i="4"/>
  <c r="B399" i="4"/>
  <c r="C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G400" i="4"/>
  <c r="E400" i="4"/>
  <c r="C400" i="4"/>
  <c r="B400" i="4"/>
  <c r="D400" i="4"/>
  <c r="F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B401" i="4"/>
  <c r="F401" i="4"/>
  <c r="D401" i="4"/>
  <c r="G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G402" i="4"/>
  <c r="F402" i="4"/>
  <c r="B402" i="4"/>
  <c r="E402" i="4"/>
  <c r="D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E403" i="4"/>
  <c r="B403" i="4"/>
  <c r="D403" i="4"/>
  <c r="C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E404" i="4"/>
  <c r="D404" i="4"/>
  <c r="F404" i="4"/>
  <c r="G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F405" i="4"/>
  <c r="B405" i="4"/>
  <c r="E405" i="4"/>
  <c r="C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F406" i="4"/>
  <c r="D406" i="4"/>
  <c r="B406" i="4"/>
  <c r="G406" i="4"/>
  <c r="C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F407" i="4"/>
  <c r="E407" i="4"/>
  <c r="G407" i="4"/>
  <c r="C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D408" i="4"/>
  <c r="C408" i="4"/>
  <c r="G408" i="4"/>
  <c r="F408" i="4"/>
  <c r="B408" i="4"/>
  <c r="E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G409" i="4"/>
  <c r="D409" i="4"/>
  <c r="F409" i="4"/>
  <c r="E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F410" i="4"/>
  <c r="C410" i="4"/>
  <c r="E410" i="4"/>
  <c r="G410" i="4"/>
  <c r="B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E411" i="4"/>
  <c r="F411" i="4"/>
  <c r="C411" i="4"/>
  <c r="B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C412" i="4"/>
  <c r="F412" i="4"/>
  <c r="D412" i="4"/>
  <c r="G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E413" i="4"/>
  <c r="G413" i="4"/>
  <c r="C413" i="4"/>
  <c r="D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B414" i="4"/>
  <c r="D414" i="4"/>
  <c r="F414" i="4"/>
  <c r="E414" i="4"/>
  <c r="C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F415" i="4"/>
  <c r="B415" i="4"/>
  <c r="E415" i="4"/>
  <c r="C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D416" i="4"/>
  <c r="B416" i="4"/>
  <c r="E416" i="4"/>
  <c r="F416" i="4"/>
  <c r="C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F417" i="4"/>
  <c r="B417" i="4"/>
  <c r="C417" i="4"/>
  <c r="D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G418" i="4"/>
  <c r="D418" i="4"/>
  <c r="B418" i="4"/>
  <c r="C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B419" i="4"/>
  <c r="G419" i="4"/>
  <c r="F419" i="4"/>
  <c r="D419" i="4"/>
  <c r="C419" i="4"/>
  <c r="E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E420" i="4"/>
  <c r="D420" i="4"/>
  <c r="G420" i="4"/>
  <c r="B420" i="4"/>
  <c r="F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G421" i="4"/>
  <c r="E421" i="4"/>
  <c r="B421" i="4"/>
  <c r="D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E422" i="4"/>
  <c r="G422" i="4"/>
  <c r="C422" i="4"/>
  <c r="B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B423" i="4"/>
  <c r="G423" i="4"/>
  <c r="D423" i="4"/>
  <c r="C423" i="4"/>
  <c r="E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D424" i="4"/>
  <c r="C424" i="4"/>
  <c r="E424" i="4"/>
  <c r="F424" i="4"/>
  <c r="G424" i="4"/>
  <c r="B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E425" i="4"/>
  <c r="C425" i="4"/>
  <c r="D425" i="4"/>
  <c r="B425" i="4"/>
  <c r="G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G426" i="4"/>
  <c r="C426" i="4"/>
  <c r="E426" i="4"/>
  <c r="B426" i="4"/>
  <c r="D426" i="4"/>
  <c r="F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D427" i="4"/>
  <c r="E427" i="4"/>
  <c r="C427" i="4"/>
  <c r="B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D428" i="4"/>
  <c r="E428" i="4"/>
  <c r="F428" i="4"/>
  <c r="G428" i="4"/>
  <c r="C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G429" i="4"/>
  <c r="B429" i="4"/>
  <c r="D429" i="4"/>
  <c r="F429" i="4"/>
  <c r="C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D430" i="4"/>
  <c r="F430" i="4"/>
  <c r="E430" i="4"/>
  <c r="C430" i="4"/>
  <c r="B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F431" i="4"/>
  <c r="D431" i="4"/>
  <c r="C431" i="4"/>
  <c r="E431" i="4"/>
  <c r="G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D432" i="4"/>
  <c r="B432" i="4"/>
  <c r="C432" i="4"/>
  <c r="G432" i="4"/>
  <c r="E432" i="4"/>
  <c r="F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E433" i="4"/>
  <c r="C433" i="4"/>
  <c r="B433" i="4"/>
  <c r="D433" i="4"/>
  <c r="G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C434" i="4"/>
  <c r="G434" i="4"/>
  <c r="B434" i="4"/>
  <c r="F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E435" i="4"/>
  <c r="G435" i="4"/>
  <c r="F435" i="4"/>
  <c r="C435" i="4"/>
  <c r="D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E436" i="4"/>
  <c r="D436" i="4"/>
  <c r="F436" i="4"/>
  <c r="B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D437" i="4"/>
  <c r="G437" i="4"/>
  <c r="E437" i="4"/>
  <c r="B437" i="4"/>
  <c r="C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D438" i="4"/>
  <c r="C438" i="4"/>
  <c r="F438" i="4"/>
  <c r="B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E439" i="4"/>
  <c r="C439" i="4"/>
  <c r="F439" i="4"/>
  <c r="D439" i="4"/>
  <c r="G439" i="4"/>
  <c r="B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C440" i="4"/>
  <c r="G440" i="4"/>
  <c r="E440" i="4"/>
  <c r="D440" i="4"/>
  <c r="F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E441" i="4"/>
  <c r="G441" i="4"/>
  <c r="C441" i="4"/>
  <c r="D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G442" i="4"/>
  <c r="E442" i="4"/>
  <c r="D442" i="4"/>
  <c r="C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G443" i="4"/>
  <c r="F443" i="4"/>
  <c r="B443" i="4"/>
  <c r="D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D444" i="4"/>
  <c r="C444" i="4"/>
  <c r="E444" i="4"/>
  <c r="B444" i="4"/>
  <c r="F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E445" i="4"/>
  <c r="D445" i="4"/>
  <c r="F445" i="4"/>
  <c r="B445" i="4"/>
  <c r="C445" i="4"/>
  <c r="G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B446" i="4"/>
  <c r="C446" i="4"/>
  <c r="D446" i="4"/>
  <c r="F446" i="4"/>
  <c r="G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F447" i="4"/>
  <c r="E447" i="4"/>
  <c r="B447" i="4"/>
  <c r="G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G448" i="4"/>
  <c r="F448" i="4"/>
  <c r="E448" i="4"/>
  <c r="D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B449" i="4"/>
  <c r="G449" i="4"/>
  <c r="D449" i="4"/>
  <c r="F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G450" i="4"/>
  <c r="D450" i="4"/>
  <c r="F450" i="4"/>
  <c r="B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B451" i="4"/>
  <c r="D451" i="4"/>
  <c r="G451" i="4"/>
  <c r="E451" i="4"/>
  <c r="C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D452" i="4"/>
  <c r="B452" i="4"/>
  <c r="C452" i="4"/>
  <c r="E452" i="4"/>
  <c r="G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B453" i="4"/>
  <c r="C453" i="4"/>
  <c r="D453" i="4"/>
  <c r="F453" i="4"/>
  <c r="G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F454" i="4"/>
  <c r="C454" i="4"/>
  <c r="D454" i="4"/>
  <c r="G454" i="4"/>
  <c r="B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C455" i="4"/>
  <c r="F455" i="4"/>
  <c r="E455" i="4"/>
  <c r="D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B456" i="4"/>
  <c r="G456" i="4"/>
  <c r="E456" i="4"/>
  <c r="F456" i="4"/>
  <c r="D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F457" i="4"/>
  <c r="G457" i="4"/>
  <c r="E457" i="4"/>
  <c r="C457" i="4"/>
  <c r="D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E458" i="4"/>
  <c r="D458" i="4"/>
  <c r="C458" i="4"/>
  <c r="G458" i="4"/>
  <c r="B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C459" i="4"/>
  <c r="E459" i="4"/>
  <c r="D459" i="4"/>
  <c r="G459" i="4"/>
  <c r="B459" i="4"/>
  <c r="F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D460" i="4"/>
  <c r="E460" i="4"/>
  <c r="C460" i="4"/>
  <c r="G460" i="4"/>
  <c r="B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E461" i="4"/>
  <c r="D461" i="4"/>
  <c r="B461" i="4"/>
  <c r="G461" i="4"/>
  <c r="F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G462" i="4"/>
  <c r="E462" i="4"/>
  <c r="C462" i="4"/>
  <c r="B462" i="4"/>
  <c r="D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F463" i="4"/>
  <c r="C463" i="4"/>
  <c r="D463" i="4"/>
  <c r="E463" i="4"/>
  <c r="B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C464" i="4"/>
  <c r="E464" i="4"/>
  <c r="B464" i="4"/>
  <c r="D464" i="4"/>
  <c r="G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D465" i="4"/>
  <c r="G465" i="4"/>
  <c r="E465" i="4"/>
  <c r="F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E466" i="4"/>
  <c r="C466" i="4"/>
  <c r="D466" i="4"/>
  <c r="G466" i="4"/>
  <c r="B466" i="4"/>
  <c r="F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E467" i="4"/>
  <c r="B467" i="4"/>
  <c r="F467" i="4"/>
  <c r="G467" i="4"/>
  <c r="D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G468" i="4"/>
  <c r="F468" i="4"/>
  <c r="C468" i="4"/>
  <c r="E468" i="4"/>
  <c r="D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E469" i="4"/>
  <c r="F469" i="4"/>
  <c r="D469" i="4"/>
  <c r="C469" i="4"/>
  <c r="G469" i="4"/>
  <c r="B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F470" i="4"/>
  <c r="B470" i="4"/>
  <c r="G470" i="4"/>
  <c r="D470" i="4"/>
  <c r="C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E471" i="4"/>
  <c r="F471" i="4"/>
  <c r="B471" i="4"/>
  <c r="C471" i="4"/>
  <c r="G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C472" i="4"/>
  <c r="D472" i="4"/>
  <c r="F472" i="4"/>
  <c r="B472" i="4"/>
  <c r="G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D473" i="4"/>
  <c r="C473" i="4"/>
  <c r="B473" i="4"/>
  <c r="G473" i="4"/>
  <c r="F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F474" i="4"/>
  <c r="C474" i="4"/>
  <c r="B474" i="4"/>
  <c r="D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G475" i="4"/>
  <c r="B475" i="4"/>
  <c r="D475" i="4"/>
  <c r="F475" i="4"/>
  <c r="C475" i="4"/>
  <c r="E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F476" i="4"/>
  <c r="B476" i="4"/>
  <c r="D476" i="4"/>
  <c r="G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G477" i="4"/>
  <c r="E477" i="4"/>
  <c r="F477" i="4"/>
  <c r="C477" i="4"/>
  <c r="B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D478" i="4"/>
  <c r="B478" i="4"/>
  <c r="C478" i="4"/>
  <c r="F478" i="4"/>
  <c r="G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G479" i="4"/>
  <c r="C479" i="4"/>
  <c r="D479" i="4"/>
  <c r="E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D480" i="4"/>
  <c r="G480" i="4"/>
  <c r="E480" i="4"/>
  <c r="F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G481" i="4"/>
  <c r="F481" i="4"/>
  <c r="D481" i="4"/>
  <c r="E481" i="4"/>
  <c r="B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F482" i="4"/>
  <c r="E482" i="4"/>
  <c r="C482" i="4"/>
  <c r="D482" i="4"/>
  <c r="B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F483" i="4"/>
  <c r="E483" i="4"/>
  <c r="C483" i="4"/>
  <c r="D483" i="4"/>
  <c r="G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G484" i="4"/>
  <c r="C484" i="4"/>
  <c r="D484" i="4"/>
  <c r="E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G485" i="4"/>
  <c r="B485" i="4"/>
  <c r="E485" i="4"/>
  <c r="C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D486" i="4"/>
  <c r="E486" i="4"/>
  <c r="B486" i="4"/>
  <c r="G486" i="4"/>
  <c r="C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G487" i="4"/>
  <c r="D487" i="4"/>
  <c r="E487" i="4"/>
  <c r="B487" i="4"/>
  <c r="C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F488" i="4"/>
  <c r="D488" i="4"/>
  <c r="G488" i="4"/>
  <c r="E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E489" i="4"/>
  <c r="C489" i="4"/>
  <c r="F489" i="4"/>
  <c r="B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F490" i="4"/>
  <c r="B490" i="4"/>
  <c r="G490" i="4"/>
  <c r="D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E491" i="4"/>
  <c r="D491" i="4"/>
  <c r="C491" i="4"/>
  <c r="F491" i="4"/>
  <c r="B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D492" i="4"/>
  <c r="C492" i="4"/>
  <c r="G492" i="4"/>
  <c r="B492" i="4"/>
  <c r="E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C493" i="4"/>
  <c r="B493" i="4"/>
  <c r="G493" i="4"/>
  <c r="D493" i="4"/>
  <c r="F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D494" i="4"/>
  <c r="B494" i="4"/>
  <c r="E494" i="4"/>
  <c r="G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G495" i="4"/>
  <c r="D495" i="4"/>
  <c r="F495" i="4"/>
  <c r="B495" i="4"/>
  <c r="C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E496" i="4"/>
  <c r="F496" i="4"/>
  <c r="B496" i="4"/>
  <c r="G496" i="4"/>
  <c r="D496" i="4"/>
  <c r="C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B497" i="4"/>
  <c r="F497" i="4"/>
  <c r="G497" i="4"/>
  <c r="C497" i="4"/>
  <c r="D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D498" i="4"/>
  <c r="F498" i="4"/>
  <c r="B498" i="4"/>
  <c r="G498" i="4"/>
  <c r="E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E499" i="4"/>
  <c r="G499" i="4"/>
  <c r="B499" i="4"/>
  <c r="D499" i="4"/>
  <c r="F499" i="4"/>
  <c r="C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G500" i="4"/>
  <c r="F500" i="4"/>
  <c r="E500" i="4"/>
  <c r="C500" i="4"/>
  <c r="D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C501" i="4"/>
  <c r="G501" i="4"/>
  <c r="E501" i="4"/>
  <c r="D501" i="4"/>
  <c r="B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C502" i="4"/>
  <c r="D502" i="4"/>
  <c r="E502" i="4"/>
  <c r="G502" i="4"/>
  <c r="B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C503" i="4"/>
  <c r="E503" i="4"/>
  <c r="G503" i="4"/>
  <c r="D503" i="4"/>
  <c r="B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E504" i="4"/>
  <c r="F504" i="4"/>
  <c r="G504" i="4"/>
  <c r="D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G505" i="4"/>
  <c r="B505" i="4"/>
  <c r="E505" i="4"/>
  <c r="C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D506" i="4"/>
  <c r="C506" i="4"/>
  <c r="E506" i="4"/>
  <c r="B506" i="4"/>
  <c r="F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D507" i="4"/>
  <c r="E507" i="4"/>
  <c r="F507" i="4"/>
  <c r="B507" i="4"/>
  <c r="C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F508" i="4"/>
  <c r="B508" i="4"/>
  <c r="D508" i="4"/>
  <c r="E508" i="4"/>
  <c r="G508" i="4"/>
  <c r="C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E509" i="4"/>
  <c r="G509" i="4"/>
  <c r="B509" i="4"/>
  <c r="C509" i="4"/>
  <c r="D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F510" i="4"/>
  <c r="G510" i="4"/>
  <c r="D510" i="4"/>
  <c r="B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G511" i="4"/>
  <c r="B511" i="4"/>
  <c r="E511" i="4"/>
  <c r="D511" i="4"/>
  <c r="C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E512" i="4"/>
  <c r="D512" i="4"/>
  <c r="G512" i="4"/>
  <c r="B512" i="4"/>
  <c r="F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F513" i="4"/>
  <c r="B513" i="4"/>
  <c r="C513" i="4"/>
  <c r="E513" i="4"/>
  <c r="G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F514" i="4"/>
  <c r="D514" i="4"/>
  <c r="C514" i="4"/>
  <c r="B514" i="4"/>
  <c r="G514" i="4"/>
  <c r="E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E515" i="4"/>
  <c r="C515" i="4"/>
  <c r="G515" i="4"/>
  <c r="B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F516" i="4"/>
  <c r="G516" i="4"/>
  <c r="B516" i="4"/>
  <c r="D516" i="4"/>
  <c r="E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C517" i="4"/>
  <c r="B517" i="4"/>
  <c r="E517" i="4"/>
  <c r="G517" i="4"/>
  <c r="D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D518" i="4"/>
  <c r="F518" i="4"/>
  <c r="B518" i="4"/>
  <c r="E518" i="4"/>
  <c r="G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E519" i="4"/>
  <c r="B519" i="4"/>
  <c r="F519" i="4"/>
  <c r="C519" i="4"/>
  <c r="G519" i="4"/>
  <c r="D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G520" i="4"/>
  <c r="D520" i="4"/>
  <c r="E520" i="4"/>
  <c r="F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C521" i="4"/>
  <c r="G521" i="4"/>
  <c r="D521" i="4"/>
  <c r="B521" i="4"/>
  <c r="F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G522" i="4"/>
  <c r="E522" i="4"/>
  <c r="C522" i="4"/>
  <c r="D522" i="4"/>
  <c r="B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C523" i="4"/>
  <c r="G523" i="4"/>
  <c r="B523" i="4"/>
  <c r="D523" i="4"/>
  <c r="F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G524" i="4"/>
  <c r="B524" i="4"/>
  <c r="D524" i="4"/>
  <c r="C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G525" i="4"/>
  <c r="D525" i="4"/>
  <c r="E525" i="4"/>
  <c r="F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B526" i="4"/>
  <c r="F526" i="4"/>
  <c r="G526" i="4"/>
  <c r="D526" i="4"/>
  <c r="E526" i="4"/>
  <c r="C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D527" i="4"/>
  <c r="G527" i="4"/>
  <c r="C527" i="4"/>
  <c r="B527" i="4"/>
  <c r="E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C528" i="4"/>
  <c r="D528" i="4"/>
  <c r="E528" i="4"/>
  <c r="G528" i="4"/>
  <c r="B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E529" i="4"/>
  <c r="C529" i="4"/>
  <c r="B529" i="4"/>
  <c r="D529" i="4"/>
  <c r="G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G530" i="4"/>
  <c r="D530" i="4"/>
  <c r="C530" i="4"/>
  <c r="F530" i="4"/>
  <c r="E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F531" i="4"/>
  <c r="B531" i="4"/>
  <c r="G531" i="4"/>
  <c r="E531" i="4"/>
  <c r="D531" i="4"/>
  <c r="C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D532" i="4"/>
  <c r="C532" i="4"/>
  <c r="B532" i="4"/>
  <c r="E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B533" i="4"/>
  <c r="D533" i="4"/>
  <c r="G533" i="4"/>
  <c r="E533" i="4"/>
  <c r="C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D534" i="4"/>
  <c r="B534" i="4"/>
  <c r="G534" i="4"/>
  <c r="E534" i="4"/>
  <c r="F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C535" i="4"/>
  <c r="F535" i="4"/>
  <c r="D535" i="4"/>
  <c r="G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B536" i="4"/>
  <c r="G536" i="4"/>
  <c r="E536" i="4"/>
  <c r="D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C537" i="4"/>
  <c r="G537" i="4"/>
  <c r="F537" i="4"/>
  <c r="E537" i="4"/>
  <c r="B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F538" i="4"/>
  <c r="B538" i="4"/>
  <c r="E538" i="4"/>
  <c r="D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D539" i="4"/>
  <c r="B539" i="4"/>
  <c r="G539" i="4"/>
  <c r="E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D540" i="4"/>
  <c r="G540" i="4"/>
  <c r="B540" i="4"/>
  <c r="C540" i="4"/>
  <c r="E540" i="4"/>
  <c r="F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D541" i="4"/>
  <c r="C541" i="4"/>
  <c r="B541" i="4"/>
  <c r="E541" i="4"/>
  <c r="F541" i="4"/>
  <c r="G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E542" i="4"/>
  <c r="D542" i="4"/>
  <c r="G542" i="4"/>
  <c r="F542" i="4"/>
  <c r="C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E543" i="4"/>
  <c r="C543" i="4"/>
  <c r="G543" i="4"/>
  <c r="D543" i="4"/>
  <c r="F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B544" i="4"/>
  <c r="E544" i="4"/>
  <c r="F544" i="4"/>
  <c r="C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D545" i="4"/>
  <c r="G545" i="4"/>
  <c r="C545" i="4"/>
  <c r="B545" i="4"/>
  <c r="F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B546" i="4"/>
  <c r="C546" i="4"/>
  <c r="D546" i="4"/>
  <c r="E546" i="4"/>
  <c r="F546" i="4"/>
  <c r="G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E547" i="4"/>
  <c r="D547" i="4"/>
  <c r="F547" i="4"/>
  <c r="C547" i="4"/>
  <c r="G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D548" i="4"/>
  <c r="B548" i="4"/>
  <c r="F548" i="4"/>
  <c r="E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C549" i="4"/>
  <c r="B549" i="4"/>
  <c r="E549" i="4"/>
  <c r="G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G550" i="4"/>
  <c r="E550" i="4"/>
  <c r="C550" i="4"/>
  <c r="D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E551" i="4"/>
  <c r="D551" i="4"/>
  <c r="G551" i="4"/>
  <c r="B551" i="4"/>
  <c r="C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G552" i="4"/>
  <c r="F552" i="4"/>
  <c r="C552" i="4"/>
  <c r="B552" i="4"/>
  <c r="D552" i="4"/>
  <c r="E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B553" i="4"/>
  <c r="G553" i="4"/>
  <c r="C553" i="4"/>
  <c r="E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D554" i="4"/>
  <c r="F554" i="4"/>
  <c r="E554" i="4"/>
  <c r="C554" i="4"/>
  <c r="G554" i="4"/>
  <c r="B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C555" i="4"/>
  <c r="B555" i="4"/>
  <c r="E555" i="4"/>
  <c r="F555" i="4"/>
  <c r="D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C556" i="4"/>
  <c r="E556" i="4"/>
  <c r="B556" i="4"/>
  <c r="G556" i="4"/>
  <c r="D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C557" i="4"/>
  <c r="B557" i="4"/>
  <c r="F557" i="4"/>
  <c r="G557" i="4"/>
  <c r="D557" i="4"/>
  <c r="E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F558" i="4"/>
  <c r="B558" i="4"/>
  <c r="G558" i="4"/>
  <c r="C558" i="4"/>
  <c r="E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F559" i="4"/>
  <c r="D559" i="4"/>
  <c r="C559" i="4"/>
  <c r="G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G560" i="4"/>
  <c r="F560" i="4"/>
  <c r="B560" i="4"/>
  <c r="E560" i="4"/>
  <c r="C560" i="4"/>
  <c r="D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B561" i="4"/>
  <c r="C561" i="4"/>
  <c r="D561" i="4"/>
  <c r="E561" i="4"/>
  <c r="G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C562" i="4"/>
  <c r="B562" i="4"/>
  <c r="G562" i="4"/>
  <c r="F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F563" i="4"/>
  <c r="B563" i="4"/>
  <c r="C563" i="4"/>
  <c r="E563" i="4"/>
  <c r="G563" i="4"/>
  <c r="D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E564" i="4"/>
  <c r="G564" i="4"/>
  <c r="C564" i="4"/>
  <c r="F564" i="4"/>
  <c r="D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D565" i="4"/>
  <c r="C565" i="4"/>
  <c r="E565" i="4"/>
  <c r="B565" i="4"/>
  <c r="G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C566" i="4"/>
  <c r="G566" i="4"/>
  <c r="E566" i="4"/>
  <c r="B566" i="4"/>
  <c r="F566" i="4"/>
  <c r="D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E567" i="4"/>
  <c r="B567" i="4"/>
  <c r="F567" i="4"/>
  <c r="C567" i="4"/>
  <c r="D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D568" i="4"/>
  <c r="G568" i="4"/>
  <c r="C568" i="4"/>
  <c r="B568" i="4"/>
  <c r="E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E569" i="4"/>
  <c r="G569" i="4"/>
  <c r="B569" i="4"/>
  <c r="D569" i="4"/>
  <c r="F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G570" i="4"/>
  <c r="C570" i="4"/>
  <c r="D570" i="4"/>
  <c r="F570" i="4"/>
  <c r="E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F571" i="4"/>
  <c r="G571" i="4"/>
  <c r="E571" i="4"/>
  <c r="D571" i="4"/>
  <c r="C571" i="4"/>
  <c r="B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G572" i="4"/>
  <c r="B572" i="4"/>
  <c r="C572" i="4"/>
  <c r="F572" i="4"/>
  <c r="D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E573" i="4"/>
  <c r="F573" i="4"/>
  <c r="B573" i="4"/>
  <c r="D573" i="4"/>
  <c r="G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B574" i="4"/>
  <c r="E574" i="4"/>
  <c r="F574" i="4"/>
  <c r="C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F575" i="4"/>
  <c r="D575" i="4"/>
  <c r="E575" i="4"/>
  <c r="C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B576" i="4"/>
  <c r="E576" i="4"/>
  <c r="G576" i="4"/>
  <c r="C576" i="4"/>
  <c r="D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G577" i="4"/>
  <c r="F577" i="4"/>
  <c r="C577" i="4"/>
  <c r="E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E578" i="4"/>
  <c r="B578" i="4"/>
  <c r="F578" i="4"/>
  <c r="G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B579" i="4"/>
  <c r="F579" i="4"/>
  <c r="C579" i="4"/>
  <c r="D579" i="4"/>
  <c r="G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F580" i="4"/>
  <c r="G580" i="4"/>
  <c r="E580" i="4"/>
  <c r="D580" i="4"/>
  <c r="C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E581" i="4"/>
  <c r="C581" i="4"/>
  <c r="D581" i="4"/>
  <c r="B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F582" i="4"/>
  <c r="B582" i="4"/>
  <c r="D582" i="4"/>
  <c r="E582" i="4"/>
  <c r="G582" i="4"/>
  <c r="C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C583" i="4"/>
  <c r="G583" i="4"/>
  <c r="F583" i="4"/>
  <c r="D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B584" i="4"/>
  <c r="F584" i="4"/>
  <c r="G584" i="4"/>
  <c r="E584" i="4"/>
  <c r="D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D585" i="4"/>
  <c r="B585" i="4"/>
  <c r="E585" i="4"/>
  <c r="F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D586" i="4"/>
  <c r="E586" i="4"/>
  <c r="G586" i="4"/>
  <c r="F586" i="4"/>
  <c r="B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G587" i="4"/>
  <c r="D587" i="4"/>
  <c r="E587" i="4"/>
  <c r="B587" i="4"/>
  <c r="C587" i="4"/>
  <c r="F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C588" i="4"/>
  <c r="D588" i="4"/>
  <c r="B588" i="4"/>
  <c r="F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C589" i="4"/>
  <c r="F589" i="4"/>
  <c r="G589" i="4"/>
  <c r="D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F590" i="4"/>
  <c r="C590" i="4"/>
  <c r="B590" i="4"/>
  <c r="G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D591" i="4"/>
  <c r="G591" i="4"/>
  <c r="F591" i="4"/>
  <c r="E591" i="4"/>
  <c r="C591" i="4"/>
  <c r="B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F592" i="4"/>
  <c r="B592" i="4"/>
  <c r="G592" i="4"/>
  <c r="D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E593" i="4"/>
  <c r="G593" i="4"/>
  <c r="F593" i="4"/>
  <c r="C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B594" i="4"/>
  <c r="F594" i="4"/>
  <c r="C594" i="4"/>
  <c r="G594" i="4"/>
  <c r="D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F595" i="4"/>
  <c r="C595" i="4"/>
  <c r="D595" i="4"/>
  <c r="G595" i="4"/>
  <c r="E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F596" i="4"/>
  <c r="G596" i="4"/>
  <c r="D596" i="4"/>
  <c r="C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G597" i="4"/>
  <c r="F597" i="4"/>
  <c r="B597" i="4"/>
  <c r="D597" i="4"/>
  <c r="C597" i="4"/>
  <c r="E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D598" i="4"/>
  <c r="E598" i="4"/>
  <c r="C598" i="4"/>
  <c r="B598" i="4"/>
  <c r="F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E599" i="4"/>
  <c r="F599" i="4"/>
  <c r="D599" i="4"/>
  <c r="B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B600" i="4"/>
  <c r="E600" i="4"/>
  <c r="D600" i="4"/>
  <c r="G600" i="4"/>
  <c r="F600" i="4"/>
  <c r="C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C601" i="4"/>
  <c r="D601" i="4"/>
  <c r="E601" i="4"/>
  <c r="F601" i="4"/>
  <c r="G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D602" i="4"/>
  <c r="G602" i="4"/>
  <c r="E602" i="4"/>
  <c r="F602" i="4"/>
  <c r="C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D603" i="4"/>
  <c r="G603" i="4"/>
  <c r="C603" i="4"/>
  <c r="E603" i="4"/>
  <c r="B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D604" i="4"/>
  <c r="C604" i="4"/>
  <c r="F604" i="4"/>
  <c r="E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D605" i="4"/>
  <c r="F605" i="4"/>
  <c r="E605" i="4"/>
  <c r="G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B606" i="4"/>
  <c r="D606" i="4"/>
  <c r="C606" i="4"/>
  <c r="E606" i="4"/>
  <c r="F606" i="4"/>
  <c r="G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C607" i="4"/>
  <c r="E607" i="4"/>
  <c r="D607" i="4"/>
  <c r="G607" i="4"/>
  <c r="B607" i="4"/>
  <c r="F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G608" i="4"/>
  <c r="D608" i="4"/>
  <c r="F608" i="4"/>
  <c r="E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G609" i="4"/>
  <c r="C609" i="4"/>
  <c r="D609" i="4"/>
  <c r="B609" i="4"/>
  <c r="E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G610" i="4"/>
  <c r="E610" i="4"/>
  <c r="B610" i="4"/>
  <c r="F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F611" i="4"/>
  <c r="C611" i="4"/>
  <c r="G611" i="4"/>
  <c r="D611" i="4"/>
  <c r="E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G612" i="4"/>
  <c r="F612" i="4"/>
  <c r="E612" i="4"/>
  <c r="D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C613" i="4"/>
  <c r="B613" i="4"/>
  <c r="E613" i="4"/>
  <c r="F613" i="4"/>
  <c r="G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D614" i="4"/>
  <c r="E614" i="4"/>
  <c r="C614" i="4"/>
  <c r="B614" i="4"/>
  <c r="F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B615" i="4"/>
  <c r="D615" i="4"/>
  <c r="C615" i="4"/>
  <c r="F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F616" i="4"/>
  <c r="G616" i="4"/>
  <c r="E616" i="4"/>
  <c r="C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D617" i="4"/>
  <c r="E617" i="4"/>
  <c r="F617" i="4"/>
  <c r="G617" i="4"/>
  <c r="B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C618" i="4"/>
  <c r="F618" i="4"/>
  <c r="D618" i="4"/>
  <c r="B618" i="4"/>
  <c r="G618" i="4"/>
  <c r="E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E619" i="4"/>
  <c r="B619" i="4"/>
  <c r="D619" i="4"/>
  <c r="G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B620" i="4"/>
  <c r="D620" i="4"/>
  <c r="F620" i="4"/>
  <c r="C620" i="4"/>
  <c r="G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G621" i="4"/>
  <c r="B621" i="4"/>
  <c r="D621" i="4"/>
  <c r="E621" i="4"/>
  <c r="C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D622" i="4"/>
  <c r="C622" i="4"/>
  <c r="F622" i="4"/>
  <c r="G622" i="4"/>
  <c r="E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B623" i="4"/>
  <c r="F623" i="4"/>
  <c r="D623" i="4"/>
  <c r="E623" i="4"/>
  <c r="G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C624" i="4"/>
  <c r="E624" i="4"/>
  <c r="B624" i="4"/>
  <c r="D624" i="4"/>
  <c r="F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G625" i="4"/>
  <c r="B625" i="4"/>
  <c r="C625" i="4"/>
  <c r="F625" i="4"/>
  <c r="D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D626" i="4"/>
  <c r="F626" i="4"/>
  <c r="G626" i="4"/>
  <c r="E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C627" i="4"/>
  <c r="D627" i="4"/>
  <c r="E627" i="4"/>
  <c r="B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C628" i="4"/>
  <c r="B628" i="4"/>
  <c r="G628" i="4"/>
  <c r="F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C629" i="4"/>
  <c r="D629" i="4"/>
  <c r="B629" i="4"/>
  <c r="G629" i="4"/>
  <c r="F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D630" i="4"/>
  <c r="E630" i="4"/>
  <c r="B630" i="4"/>
  <c r="C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G631" i="4"/>
  <c r="C631" i="4"/>
  <c r="B631" i="4"/>
  <c r="E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D632" i="4"/>
  <c r="G632" i="4"/>
  <c r="E632" i="4"/>
  <c r="F632" i="4"/>
  <c r="C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E633" i="4"/>
  <c r="F633" i="4"/>
  <c r="D633" i="4"/>
  <c r="B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E634" i="4"/>
  <c r="C634" i="4"/>
  <c r="G634" i="4"/>
  <c r="D634" i="4"/>
  <c r="F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C635" i="4"/>
  <c r="F635" i="4"/>
  <c r="G635" i="4"/>
  <c r="B635" i="4"/>
  <c r="D635" i="4"/>
  <c r="E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B636" i="4"/>
  <c r="G636" i="4"/>
  <c r="F636" i="4"/>
  <c r="D636" i="4"/>
  <c r="E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D637" i="4"/>
  <c r="F637" i="4"/>
  <c r="C637" i="4"/>
  <c r="B637" i="4"/>
  <c r="G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G638" i="4"/>
  <c r="B638" i="4"/>
  <c r="E638" i="4"/>
  <c r="D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C639" i="4"/>
  <c r="F639" i="4"/>
  <c r="D639" i="4"/>
  <c r="E639" i="4"/>
  <c r="B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F640" i="4"/>
  <c r="D640" i="4"/>
  <c r="G640" i="4"/>
  <c r="B640" i="4"/>
  <c r="E640" i="4"/>
  <c r="C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G641" i="4"/>
  <c r="D641" i="4"/>
  <c r="C641" i="4"/>
  <c r="E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B642" i="4"/>
  <c r="C642" i="4"/>
  <c r="G642" i="4"/>
  <c r="F642" i="4"/>
  <c r="D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B643" i="4"/>
  <c r="E643" i="4"/>
  <c r="C643" i="4"/>
  <c r="G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B644" i="4"/>
  <c r="C644" i="4"/>
  <c r="D644" i="4"/>
  <c r="F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B645" i="4"/>
  <c r="F645" i="4"/>
  <c r="E645" i="4"/>
  <c r="C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E646" i="4"/>
  <c r="D646" i="4"/>
  <c r="G646" i="4"/>
  <c r="C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B647" i="4"/>
  <c r="D647" i="4"/>
  <c r="E647" i="4"/>
  <c r="G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B648" i="4"/>
  <c r="G648" i="4"/>
  <c r="D648" i="4"/>
  <c r="F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C649" i="4"/>
  <c r="D649" i="4"/>
  <c r="F649" i="4"/>
  <c r="E649" i="4"/>
  <c r="G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F650" i="4"/>
  <c r="C650" i="4"/>
  <c r="E650" i="4"/>
  <c r="D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G651" i="4"/>
  <c r="D651" i="4"/>
  <c r="E651" i="4"/>
  <c r="F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B652" i="4"/>
  <c r="F652" i="4"/>
  <c r="D652" i="4"/>
  <c r="C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C653" i="4"/>
  <c r="D653" i="4"/>
  <c r="B653" i="4"/>
  <c r="E653" i="4"/>
  <c r="G653" i="4"/>
  <c r="F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F654" i="4"/>
  <c r="C654" i="4"/>
  <c r="B654" i="4"/>
  <c r="D654" i="4"/>
  <c r="E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B655" i="4"/>
  <c r="G655" i="4"/>
  <c r="F655" i="4"/>
  <c r="E655" i="4"/>
  <c r="C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B656" i="4"/>
  <c r="D656" i="4"/>
  <c r="G656" i="4"/>
  <c r="E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C657" i="4"/>
  <c r="F657" i="4"/>
  <c r="G657" i="4"/>
  <c r="D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D658" i="4"/>
  <c r="G658" i="4"/>
  <c r="F658" i="4"/>
  <c r="E658" i="4"/>
  <c r="C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F659" i="4"/>
  <c r="D659" i="4"/>
  <c r="E659" i="4"/>
  <c r="G659" i="4"/>
  <c r="B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C660" i="4"/>
  <c r="F660" i="4"/>
  <c r="B660" i="4"/>
  <c r="G660" i="4"/>
  <c r="E660" i="4"/>
  <c r="D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G661" i="4"/>
  <c r="C661" i="4"/>
  <c r="B661" i="4"/>
  <c r="F661" i="4"/>
  <c r="D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C662" i="4"/>
  <c r="G662" i="4"/>
  <c r="D662" i="4"/>
  <c r="E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C663" i="4"/>
  <c r="G663" i="4"/>
  <c r="F663" i="4"/>
  <c r="D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C664" i="4"/>
  <c r="E664" i="4"/>
  <c r="F664" i="4"/>
  <c r="G664" i="4"/>
  <c r="B664" i="4"/>
  <c r="D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E665" i="4"/>
  <c r="C665" i="4"/>
  <c r="D665" i="4"/>
  <c r="B665" i="4"/>
  <c r="G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B666" i="4"/>
  <c r="G666" i="4"/>
  <c r="D666" i="4"/>
  <c r="E666" i="4"/>
  <c r="C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G667" i="4"/>
  <c r="C667" i="4"/>
  <c r="B667" i="4"/>
  <c r="F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C668" i="4"/>
  <c r="G668" i="4"/>
  <c r="D668" i="4"/>
  <c r="E668" i="4"/>
  <c r="B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C669" i="4"/>
  <c r="F669" i="4"/>
  <c r="E669" i="4"/>
  <c r="G669" i="4"/>
  <c r="B669" i="4"/>
  <c r="D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F670" i="4"/>
  <c r="C670" i="4"/>
  <c r="D670" i="4"/>
  <c r="G670" i="4"/>
  <c r="B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C671" i="4"/>
  <c r="G671" i="4"/>
  <c r="D671" i="4"/>
  <c r="F671" i="4"/>
  <c r="E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B672" i="4"/>
  <c r="F672" i="4"/>
  <c r="E672" i="4"/>
  <c r="C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B673" i="4"/>
  <c r="C673" i="4"/>
  <c r="F673" i="4"/>
  <c r="E673" i="4"/>
  <c r="D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B674" i="4"/>
  <c r="E674" i="4"/>
  <c r="C674" i="4"/>
  <c r="D674" i="4"/>
  <c r="G674" i="4"/>
  <c r="F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E675" i="4"/>
  <c r="C675" i="4"/>
  <c r="D675" i="4"/>
  <c r="G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C676" i="4"/>
  <c r="G676" i="4"/>
  <c r="F676" i="4"/>
  <c r="E676" i="4"/>
  <c r="B676" i="4"/>
  <c r="D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F677" i="4"/>
  <c r="C677" i="4"/>
  <c r="G677" i="4"/>
  <c r="D677" i="4"/>
  <c r="E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G678" i="4"/>
  <c r="D678" i="4"/>
  <c r="E678" i="4"/>
  <c r="C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G679" i="4"/>
  <c r="F679" i="4"/>
  <c r="D679" i="4"/>
  <c r="B679" i="4"/>
  <c r="E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E680" i="4"/>
  <c r="D680" i="4"/>
  <c r="B680" i="4"/>
  <c r="G680" i="4"/>
  <c r="C680" i="4"/>
  <c r="F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F681" i="4"/>
  <c r="B681" i="4"/>
  <c r="D681" i="4"/>
  <c r="E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F682" i="4"/>
  <c r="D682" i="4"/>
  <c r="C682" i="4"/>
  <c r="G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E683" i="4"/>
  <c r="B683" i="4"/>
  <c r="F683" i="4"/>
  <c r="D683" i="4"/>
  <c r="C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G684" i="4"/>
  <c r="F684" i="4"/>
  <c r="B684" i="4"/>
  <c r="E684" i="4"/>
  <c r="C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G685" i="4"/>
  <c r="F685" i="4"/>
  <c r="C685" i="4"/>
  <c r="E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B686" i="4"/>
  <c r="G686" i="4"/>
  <c r="F686" i="4"/>
  <c r="E686" i="4"/>
  <c r="D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F687" i="4"/>
  <c r="D687" i="4"/>
  <c r="G687" i="4"/>
  <c r="C687" i="4"/>
  <c r="E687" i="4"/>
  <c r="B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E688" i="4"/>
  <c r="B688" i="4"/>
  <c r="F688" i="4"/>
  <c r="C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F689" i="4"/>
  <c r="D689" i="4"/>
  <c r="E689" i="4"/>
  <c r="C689" i="4"/>
  <c r="G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F690" i="4"/>
  <c r="B690" i="4"/>
  <c r="G690" i="4"/>
  <c r="E690" i="4"/>
  <c r="C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C691" i="4"/>
  <c r="B691" i="4"/>
  <c r="G691" i="4"/>
  <c r="D691" i="4"/>
  <c r="F691" i="4"/>
  <c r="E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F692" i="4"/>
  <c r="E692" i="4"/>
  <c r="D692" i="4"/>
  <c r="C692" i="4"/>
  <c r="B692" i="4"/>
  <c r="G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C693" i="4"/>
  <c r="F693" i="4"/>
  <c r="G693" i="4"/>
  <c r="B693" i="4"/>
  <c r="D693" i="4"/>
  <c r="E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D694" i="4"/>
  <c r="C694" i="4"/>
  <c r="B694" i="4"/>
  <c r="F694" i="4"/>
  <c r="G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D695" i="4"/>
  <c r="G695" i="4"/>
  <c r="E695" i="4"/>
  <c r="C695" i="4"/>
  <c r="B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E696" i="4"/>
  <c r="B696" i="4"/>
  <c r="C696" i="4"/>
  <c r="F696" i="4"/>
  <c r="G696" i="4"/>
  <c r="D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E697" i="4"/>
  <c r="C697" i="4"/>
  <c r="G697" i="4"/>
  <c r="F697" i="4"/>
  <c r="B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D698" i="4"/>
  <c r="E698" i="4"/>
  <c r="G698" i="4"/>
  <c r="C698" i="4"/>
  <c r="F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F699" i="4"/>
  <c r="D699" i="4"/>
  <c r="C699" i="4"/>
  <c r="B699" i="4"/>
  <c r="E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G700" i="4"/>
  <c r="E700" i="4"/>
  <c r="B700" i="4"/>
  <c r="D700" i="4"/>
  <c r="F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C701" i="4"/>
  <c r="F701" i="4"/>
  <c r="B701" i="4"/>
  <c r="D701" i="4"/>
  <c r="G701" i="4"/>
  <c r="E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D702" i="4"/>
  <c r="B702" i="4"/>
  <c r="F702" i="4"/>
  <c r="C702" i="4"/>
  <c r="G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E703" i="4"/>
  <c r="F703" i="4"/>
  <c r="D703" i="4"/>
  <c r="G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G704" i="4"/>
  <c r="D704" i="4"/>
  <c r="B704" i="4"/>
  <c r="E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G705" i="4"/>
  <c r="B705" i="4"/>
  <c r="D705" i="4"/>
  <c r="C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B706" i="4"/>
  <c r="C706" i="4"/>
  <c r="G706" i="4"/>
  <c r="D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E707" i="4"/>
  <c r="C707" i="4"/>
  <c r="D707" i="4"/>
  <c r="G707" i="4"/>
  <c r="F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D708" i="4"/>
  <c r="B708" i="4"/>
  <c r="F708" i="4"/>
  <c r="C708" i="4"/>
  <c r="E708" i="4"/>
  <c r="G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G709" i="4"/>
  <c r="F709" i="4"/>
  <c r="B709" i="4"/>
  <c r="D709" i="4"/>
  <c r="E709" i="4"/>
  <c r="C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E710" i="4"/>
  <c r="B710" i="4"/>
  <c r="F710" i="4"/>
  <c r="G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D711" i="4"/>
  <c r="B711" i="4"/>
  <c r="F711" i="4"/>
  <c r="C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G712" i="4"/>
  <c r="D712" i="4"/>
  <c r="F712" i="4"/>
  <c r="E712" i="4"/>
  <c r="C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D713" i="4"/>
  <c r="B713" i="4"/>
  <c r="C713" i="4"/>
  <c r="G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B714" i="4"/>
  <c r="F714" i="4"/>
  <c r="C714" i="4"/>
  <c r="E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C715" i="4"/>
  <c r="G715" i="4"/>
  <c r="B715" i="4"/>
  <c r="D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F716" i="4"/>
  <c r="D716" i="4"/>
  <c r="E716" i="4"/>
  <c r="G716" i="4"/>
  <c r="B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F717" i="4"/>
  <c r="G717" i="4"/>
  <c r="E717" i="4"/>
  <c r="C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C718" i="4"/>
  <c r="E718" i="4"/>
  <c r="D718" i="4"/>
  <c r="G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C719" i="4"/>
  <c r="F719" i="4"/>
  <c r="G719" i="4"/>
  <c r="E719" i="4"/>
  <c r="B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F720" i="4"/>
  <c r="G720" i="4"/>
  <c r="D720" i="4"/>
  <c r="C720" i="4"/>
  <c r="B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F721" i="4"/>
  <c r="C721" i="4"/>
  <c r="B721" i="4"/>
  <c r="G721" i="4"/>
  <c r="D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D722" i="4"/>
  <c r="B722" i="4"/>
  <c r="F722" i="4"/>
  <c r="E722" i="4"/>
  <c r="G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E723" i="4"/>
  <c r="B723" i="4"/>
  <c r="F723" i="4"/>
  <c r="G723" i="4"/>
  <c r="D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E724" i="4"/>
  <c r="F724" i="4"/>
  <c r="D724" i="4"/>
  <c r="G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D725" i="4"/>
  <c r="G725" i="4"/>
  <c r="C725" i="4"/>
  <c r="F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E726" i="4"/>
  <c r="D726" i="4"/>
  <c r="F726" i="4"/>
  <c r="B726" i="4"/>
  <c r="C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E727" i="4"/>
  <c r="B727" i="4"/>
  <c r="D727" i="4"/>
  <c r="F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C728" i="4"/>
  <c r="G728" i="4"/>
  <c r="B728" i="4"/>
  <c r="D728" i="4"/>
  <c r="F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G729" i="4"/>
  <c r="F729" i="4"/>
  <c r="B729" i="4"/>
  <c r="D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C730" i="4"/>
  <c r="D730" i="4"/>
  <c r="F730" i="4"/>
  <c r="G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C731" i="4"/>
  <c r="G731" i="4"/>
  <c r="F731" i="4"/>
  <c r="E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B732" i="4"/>
  <c r="G732" i="4"/>
  <c r="E732" i="4"/>
  <c r="F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B733" i="4"/>
  <c r="F733" i="4"/>
  <c r="C733" i="4"/>
  <c r="E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E734" i="4"/>
  <c r="F734" i="4"/>
  <c r="C734" i="4"/>
  <c r="D734" i="4"/>
  <c r="G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B735" i="4"/>
  <c r="G735" i="4"/>
  <c r="D735" i="4"/>
  <c r="F735" i="4"/>
  <c r="C735" i="4"/>
  <c r="E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G736" i="4"/>
  <c r="E736" i="4"/>
  <c r="F736" i="4"/>
  <c r="D736" i="4"/>
  <c r="C736" i="4"/>
  <c r="B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F737" i="4"/>
  <c r="D737" i="4"/>
  <c r="B737" i="4"/>
  <c r="C737" i="4"/>
  <c r="G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C738" i="4"/>
  <c r="G738" i="4"/>
  <c r="F738" i="4"/>
  <c r="E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E739" i="4"/>
  <c r="D739" i="4"/>
  <c r="C739" i="4"/>
  <c r="B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G740" i="4"/>
  <c r="C740" i="4"/>
  <c r="E740" i="4"/>
  <c r="F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E741" i="4"/>
  <c r="D741" i="4"/>
  <c r="G741" i="4"/>
  <c r="C741" i="4"/>
  <c r="F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F742" i="4"/>
  <c r="D742" i="4"/>
  <c r="G742" i="4"/>
  <c r="C742" i="4"/>
  <c r="E742" i="4"/>
  <c r="B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E743" i="4"/>
  <c r="F743" i="4"/>
  <c r="B743" i="4"/>
  <c r="C743" i="4"/>
  <c r="D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D744" i="4"/>
  <c r="E744" i="4"/>
  <c r="B744" i="4"/>
  <c r="F744" i="4"/>
  <c r="G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D745" i="4"/>
  <c r="E745" i="4"/>
  <c r="B745" i="4"/>
  <c r="F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E746" i="4"/>
  <c r="D746" i="4"/>
  <c r="C746" i="4"/>
  <c r="B746" i="4"/>
  <c r="F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D747" i="4"/>
  <c r="B747" i="4"/>
  <c r="G747" i="4"/>
  <c r="E747" i="4"/>
  <c r="F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E748" i="4"/>
  <c r="G748" i="4"/>
  <c r="C748" i="4"/>
  <c r="D748" i="4"/>
  <c r="F748" i="4"/>
  <c r="B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E749" i="4"/>
  <c r="C749" i="4"/>
  <c r="D749" i="4"/>
  <c r="F749" i="4"/>
  <c r="B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D750" i="4"/>
  <c r="F750" i="4"/>
  <c r="B750" i="4"/>
  <c r="E750" i="4"/>
  <c r="C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B751" i="4"/>
  <c r="E751" i="4"/>
  <c r="C751" i="4"/>
  <c r="F751" i="4"/>
  <c r="G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C752" i="4"/>
  <c r="E752" i="4"/>
  <c r="B752" i="4"/>
  <c r="D752" i="4"/>
  <c r="F752" i="4"/>
  <c r="G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B753" i="4"/>
  <c r="F753" i="4"/>
  <c r="C753" i="4"/>
  <c r="G753" i="4"/>
  <c r="E753" i="4"/>
  <c r="D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F754" i="4"/>
  <c r="B754" i="4"/>
  <c r="G754" i="4"/>
  <c r="E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C755" i="4"/>
  <c r="D755" i="4"/>
  <c r="F755" i="4"/>
  <c r="G755" i="4"/>
  <c r="B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B756" i="4"/>
  <c r="F756" i="4"/>
  <c r="G756" i="4"/>
  <c r="D756" i="4"/>
  <c r="E756" i="4"/>
  <c r="C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B757" i="4"/>
  <c r="F757" i="4"/>
  <c r="E757" i="4"/>
  <c r="C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C758" i="4"/>
  <c r="F758" i="4"/>
  <c r="E758" i="4"/>
  <c r="D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B759" i="4"/>
  <c r="F759" i="4"/>
  <c r="C759" i="4"/>
  <c r="G759" i="4"/>
  <c r="E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G760" i="4"/>
  <c r="B760" i="4"/>
  <c r="E760" i="4"/>
  <c r="D760" i="4"/>
  <c r="F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F761" i="4"/>
  <c r="D761" i="4"/>
  <c r="C761" i="4"/>
  <c r="E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B762" i="4"/>
  <c r="G762" i="4"/>
  <c r="D762" i="4"/>
  <c r="C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B763" i="4"/>
  <c r="G763" i="4"/>
  <c r="C763" i="4"/>
  <c r="D763" i="4"/>
  <c r="E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B764" i="4"/>
  <c r="F764" i="4"/>
  <c r="D764" i="4"/>
  <c r="E764" i="4"/>
  <c r="C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D765" i="4"/>
  <c r="F765" i="4"/>
  <c r="B765" i="4"/>
  <c r="G765" i="4"/>
  <c r="E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B766" i="4"/>
  <c r="C766" i="4"/>
  <c r="E766" i="4"/>
  <c r="F766" i="4"/>
  <c r="D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B767" i="4"/>
  <c r="E767" i="4"/>
  <c r="F767" i="4"/>
  <c r="C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C768" i="4"/>
  <c r="E768" i="4"/>
  <c r="G768" i="4"/>
  <c r="D768" i="4"/>
  <c r="B768" i="4"/>
  <c r="F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C769" i="4"/>
  <c r="E769" i="4"/>
  <c r="B769" i="4"/>
  <c r="G769" i="4"/>
  <c r="D769" i="4"/>
  <c r="F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C770" i="4"/>
  <c r="E770" i="4"/>
  <c r="F770" i="4"/>
  <c r="G770" i="4"/>
  <c r="B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B771" i="4"/>
  <c r="F771" i="4"/>
  <c r="D771" i="4"/>
  <c r="C771" i="4"/>
  <c r="G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C772" i="4"/>
  <c r="E772" i="4"/>
  <c r="G772" i="4"/>
  <c r="F772" i="4"/>
  <c r="D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G773" i="4"/>
  <c r="F773" i="4"/>
  <c r="B773" i="4"/>
  <c r="E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C774" i="4"/>
  <c r="E774" i="4"/>
  <c r="D774" i="4"/>
  <c r="G774" i="4"/>
  <c r="F774" i="4"/>
  <c r="B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F775" i="4"/>
  <c r="D775" i="4"/>
  <c r="E775" i="4"/>
  <c r="B775" i="4"/>
  <c r="G775" i="4"/>
  <c r="C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G776" i="4"/>
  <c r="B776" i="4"/>
  <c r="F776" i="4"/>
  <c r="E776" i="4"/>
  <c r="D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B777" i="4"/>
  <c r="E777" i="4"/>
  <c r="G777" i="4"/>
  <c r="F777" i="4"/>
  <c r="D777" i="4"/>
  <c r="C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E778" i="4"/>
  <c r="D778" i="4"/>
  <c r="B778" i="4"/>
  <c r="G778" i="4"/>
  <c r="C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B779" i="4"/>
  <c r="C779" i="4"/>
  <c r="G779" i="4"/>
  <c r="F779" i="4"/>
  <c r="D779" i="4"/>
  <c r="E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B780" i="4"/>
  <c r="G780" i="4"/>
  <c r="E780" i="4"/>
  <c r="D780" i="4"/>
  <c r="F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B781" i="4"/>
  <c r="F781" i="4"/>
  <c r="C781" i="4"/>
  <c r="E781" i="4"/>
  <c r="G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E782" i="4"/>
  <c r="B782" i="4"/>
  <c r="G782" i="4"/>
  <c r="C782" i="4"/>
  <c r="F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F783" i="4"/>
  <c r="G783" i="4"/>
  <c r="C783" i="4"/>
  <c r="B783" i="4"/>
  <c r="D783" i="4"/>
  <c r="E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B784" i="4"/>
  <c r="E784" i="4"/>
  <c r="G784" i="4"/>
  <c r="D784" i="4"/>
  <c r="F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E785" i="4"/>
  <c r="B785" i="4"/>
  <c r="D785" i="4"/>
  <c r="G785" i="4"/>
  <c r="C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E786" i="4"/>
  <c r="B786" i="4"/>
  <c r="C786" i="4"/>
  <c r="F786" i="4"/>
  <c r="G786" i="4"/>
  <c r="D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G787" i="4"/>
  <c r="C787" i="4"/>
  <c r="D787" i="4"/>
  <c r="F787" i="4"/>
  <c r="E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F788" i="4"/>
  <c r="C788" i="4"/>
  <c r="G788" i="4"/>
  <c r="D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B789" i="4"/>
  <c r="D789" i="4"/>
  <c r="G789" i="4"/>
  <c r="F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F790" i="4"/>
  <c r="D790" i="4"/>
  <c r="G790" i="4"/>
  <c r="E790" i="4"/>
  <c r="C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D791" i="4"/>
  <c r="G791" i="4"/>
  <c r="B791" i="4"/>
  <c r="C791" i="4"/>
  <c r="F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E792" i="4"/>
  <c r="C792" i="4"/>
  <c r="F792" i="4"/>
  <c r="B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E793" i="4"/>
  <c r="B793" i="4"/>
  <c r="C793" i="4"/>
  <c r="D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F794" i="4"/>
  <c r="B794" i="4"/>
  <c r="G794" i="4"/>
  <c r="D794" i="4"/>
  <c r="E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G795" i="4"/>
  <c r="E795" i="4"/>
  <c r="B795" i="4"/>
  <c r="F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F796" i="4"/>
  <c r="G796" i="4"/>
  <c r="D796" i="4"/>
  <c r="E796" i="4"/>
  <c r="C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E797" i="4"/>
  <c r="B797" i="4"/>
  <c r="C797" i="4"/>
  <c r="G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C798" i="4"/>
  <c r="G798" i="4"/>
  <c r="B798" i="4"/>
  <c r="F798" i="4"/>
  <c r="D798" i="4"/>
  <c r="E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C799" i="4"/>
  <c r="F799" i="4"/>
  <c r="D799" i="4"/>
  <c r="E799" i="4"/>
  <c r="G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C800" i="4"/>
  <c r="D800" i="4"/>
  <c r="B800" i="4"/>
  <c r="G800" i="4"/>
  <c r="E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B801" i="4"/>
  <c r="C801" i="4"/>
  <c r="F801" i="4"/>
  <c r="E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G802" i="4"/>
  <c r="F802" i="4"/>
  <c r="B802" i="4"/>
  <c r="E802" i="4"/>
  <c r="D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B803" i="4"/>
  <c r="G803" i="4"/>
  <c r="F803" i="4"/>
  <c r="D803" i="4"/>
  <c r="C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E804" i="4"/>
  <c r="D804" i="4"/>
  <c r="G804" i="4"/>
  <c r="F804" i="4"/>
  <c r="B804" i="4"/>
  <c r="C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B805" i="4"/>
  <c r="G805" i="4"/>
  <c r="D805" i="4"/>
  <c r="C805" i="4"/>
  <c r="F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F806" i="4"/>
  <c r="C806" i="4"/>
  <c r="B806" i="4"/>
  <c r="D806" i="4"/>
  <c r="G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B807" i="4"/>
  <c r="C807" i="4"/>
  <c r="E807" i="4"/>
  <c r="F807" i="4"/>
  <c r="D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E808" i="4"/>
  <c r="B808" i="4"/>
  <c r="F808" i="4"/>
  <c r="C808" i="4"/>
  <c r="G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E809" i="4"/>
  <c r="B809" i="4"/>
  <c r="F809" i="4"/>
  <c r="D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C810" i="4"/>
  <c r="B810" i="4"/>
  <c r="G810" i="4"/>
  <c r="F810" i="4"/>
  <c r="E810" i="4"/>
  <c r="D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G811" i="4"/>
  <c r="D811" i="4"/>
  <c r="C811" i="4"/>
  <c r="F811" i="4"/>
  <c r="E811" i="4"/>
  <c r="B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B812" i="4"/>
  <c r="D812" i="4"/>
  <c r="F812" i="4"/>
  <c r="E812" i="4"/>
  <c r="C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G813" i="4"/>
  <c r="F813" i="4"/>
  <c r="B813" i="4"/>
  <c r="C813" i="4"/>
  <c r="D813" i="4"/>
  <c r="E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G814" i="4"/>
  <c r="F814" i="4"/>
  <c r="E814" i="4"/>
  <c r="D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F815" i="4"/>
  <c r="C815" i="4"/>
  <c r="E815" i="4"/>
  <c r="G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G816" i="4"/>
  <c r="D816" i="4"/>
  <c r="C816" i="4"/>
  <c r="B816" i="4"/>
  <c r="F816" i="4"/>
  <c r="E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B817" i="4"/>
  <c r="F817" i="4"/>
  <c r="D817" i="4"/>
  <c r="C817" i="4"/>
  <c r="E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G818" i="4"/>
  <c r="B818" i="4"/>
  <c r="F818" i="4"/>
  <c r="C818" i="4"/>
  <c r="D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D819" i="4"/>
  <c r="C819" i="4"/>
  <c r="E819" i="4"/>
  <c r="F819" i="4"/>
  <c r="B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D820" i="4"/>
  <c r="B820" i="4"/>
  <c r="F820" i="4"/>
  <c r="E820" i="4"/>
  <c r="C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B821" i="4"/>
  <c r="D821" i="4"/>
  <c r="C821" i="4"/>
  <c r="E821" i="4"/>
  <c r="G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D822" i="4"/>
  <c r="E822" i="4"/>
  <c r="F822" i="4"/>
  <c r="C822" i="4"/>
  <c r="B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B823" i="4"/>
  <c r="E823" i="4"/>
  <c r="F823" i="4"/>
  <c r="C823" i="4"/>
  <c r="D823" i="4"/>
  <c r="G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G824" i="4"/>
  <c r="D824" i="4"/>
  <c r="F824" i="4"/>
  <c r="C824" i="4"/>
  <c r="E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C825" i="4"/>
  <c r="D825" i="4"/>
  <c r="E825" i="4"/>
  <c r="B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G826" i="4"/>
  <c r="E826" i="4"/>
  <c r="C826" i="4"/>
  <c r="B826" i="4"/>
  <c r="D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F827" i="4"/>
  <c r="B827" i="4"/>
  <c r="D827" i="4"/>
  <c r="E827" i="4"/>
  <c r="G827" i="4"/>
  <c r="C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F828" i="4"/>
  <c r="B828" i="4"/>
  <c r="D828" i="4"/>
  <c r="E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F829" i="4"/>
  <c r="G829" i="4"/>
  <c r="C829" i="4"/>
  <c r="B829" i="4"/>
  <c r="E829" i="4"/>
  <c r="D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E830" i="4"/>
  <c r="G830" i="4"/>
  <c r="B830" i="4"/>
  <c r="C830" i="4"/>
  <c r="F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D831" i="4"/>
  <c r="E831" i="4"/>
  <c r="F831" i="4"/>
  <c r="B831" i="4"/>
  <c r="G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D832" i="4"/>
  <c r="G832" i="4"/>
  <c r="B832" i="4"/>
  <c r="F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F833" i="4"/>
  <c r="D833" i="4"/>
  <c r="C833" i="4"/>
  <c r="G833" i="4"/>
  <c r="B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C834" i="4"/>
  <c r="G834" i="4"/>
  <c r="B834" i="4"/>
  <c r="D834" i="4"/>
  <c r="F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B835" i="4"/>
  <c r="C835" i="4"/>
  <c r="G835" i="4"/>
  <c r="D835" i="4"/>
  <c r="E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E836" i="4"/>
  <c r="C836" i="4"/>
  <c r="G836" i="4"/>
  <c r="F836" i="4"/>
  <c r="B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D837" i="4"/>
  <c r="B837" i="4"/>
  <c r="G837" i="4"/>
  <c r="E837" i="4"/>
  <c r="F837" i="4"/>
  <c r="C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F838" i="4"/>
  <c r="G838" i="4"/>
  <c r="B838" i="4"/>
  <c r="C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B839" i="4"/>
  <c r="F839" i="4"/>
  <c r="C839" i="4"/>
  <c r="G839" i="4"/>
  <c r="E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C840" i="4"/>
  <c r="E840" i="4"/>
  <c r="D840" i="4"/>
  <c r="G840" i="4"/>
  <c r="B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F841" i="4"/>
  <c r="E841" i="4"/>
  <c r="G841" i="4"/>
  <c r="B841" i="4"/>
  <c r="C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G842" i="4"/>
  <c r="B842" i="4"/>
  <c r="D842" i="4"/>
  <c r="C842" i="4"/>
  <c r="F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G843" i="4"/>
  <c r="B843" i="4"/>
  <c r="E843" i="4"/>
  <c r="F843" i="4"/>
  <c r="D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B844" i="4"/>
  <c r="C844" i="4"/>
  <c r="E844" i="4"/>
  <c r="G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E845" i="4"/>
  <c r="G845" i="4"/>
  <c r="D845" i="4"/>
  <c r="F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C846" i="4"/>
  <c r="D846" i="4"/>
  <c r="B846" i="4"/>
  <c r="F846" i="4"/>
  <c r="E846" i="4"/>
  <c r="G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B847" i="4"/>
  <c r="F847" i="4"/>
  <c r="E847" i="4"/>
  <c r="D847" i="4"/>
  <c r="G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G848" i="4"/>
  <c r="E848" i="4"/>
  <c r="B848" i="4"/>
  <c r="F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B849" i="4"/>
  <c r="F849" i="4"/>
  <c r="C849" i="4"/>
  <c r="D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F850" i="4"/>
  <c r="G850" i="4"/>
  <c r="E850" i="4"/>
  <c r="C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B851" i="4"/>
  <c r="F851" i="4"/>
  <c r="G851" i="4"/>
  <c r="C851" i="4"/>
  <c r="E851" i="4"/>
  <c r="D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B852" i="4"/>
  <c r="G852" i="4"/>
  <c r="D852" i="4"/>
  <c r="E852" i="4"/>
  <c r="C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F853" i="4"/>
  <c r="C853" i="4"/>
  <c r="B853" i="4"/>
  <c r="E853" i="4"/>
  <c r="G853" i="4"/>
  <c r="D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E854" i="4"/>
  <c r="C854" i="4"/>
  <c r="D854" i="4"/>
  <c r="B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G855" i="4"/>
  <c r="B855" i="4"/>
  <c r="F855" i="4"/>
  <c r="E855" i="4"/>
  <c r="D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G856" i="4"/>
  <c r="B856" i="4"/>
  <c r="D856" i="4"/>
  <c r="C856" i="4"/>
  <c r="F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E857" i="4"/>
  <c r="F857" i="4"/>
  <c r="G857" i="4"/>
  <c r="B857" i="4"/>
  <c r="D857" i="4"/>
  <c r="C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B858" i="4"/>
  <c r="E858" i="4"/>
  <c r="D858" i="4"/>
  <c r="G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E859" i="4"/>
  <c r="F859" i="4"/>
  <c r="C859" i="4"/>
  <c r="D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G860" i="4"/>
  <c r="C860" i="4"/>
  <c r="F860" i="4"/>
  <c r="D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F861" i="4"/>
  <c r="G861" i="4"/>
  <c r="E861" i="4"/>
  <c r="B861" i="4"/>
  <c r="D861" i="4"/>
  <c r="C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G862" i="4"/>
  <c r="F862" i="4"/>
  <c r="C862" i="4"/>
  <c r="B862" i="4"/>
  <c r="E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B863" i="4"/>
  <c r="F863" i="4"/>
  <c r="D863" i="4"/>
  <c r="C863" i="4"/>
  <c r="E863" i="4"/>
  <c r="G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G864" i="4"/>
  <c r="E864" i="4"/>
  <c r="D864" i="4"/>
  <c r="B864" i="4"/>
  <c r="F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B865" i="4"/>
  <c r="F865" i="4"/>
  <c r="G865" i="4"/>
  <c r="C865" i="4"/>
  <c r="D865" i="4"/>
  <c r="E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G866" i="4"/>
  <c r="E866" i="4"/>
  <c r="C866" i="4"/>
  <c r="D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G867" i="4"/>
  <c r="B867" i="4"/>
  <c r="E867" i="4"/>
  <c r="D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E868" i="4"/>
  <c r="C868" i="4"/>
  <c r="G868" i="4"/>
  <c r="F868" i="4"/>
  <c r="D868" i="4"/>
  <c r="B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D869" i="4"/>
  <c r="G869" i="4"/>
  <c r="C869" i="4"/>
  <c r="E869" i="4"/>
  <c r="B869" i="4"/>
  <c r="F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D870" i="4"/>
  <c r="G870" i="4"/>
  <c r="F870" i="4"/>
  <c r="E870" i="4"/>
  <c r="C870" i="4"/>
  <c r="B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B871" i="4"/>
  <c r="C871" i="4"/>
  <c r="F871" i="4"/>
  <c r="D871" i="4"/>
  <c r="E871" i="4"/>
  <c r="G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D872" i="4"/>
  <c r="E872" i="4"/>
  <c r="B872" i="4"/>
  <c r="F872" i="4"/>
  <c r="G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D873" i="4"/>
  <c r="B873" i="4"/>
  <c r="C873" i="4"/>
  <c r="G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E874" i="4"/>
  <c r="F874" i="4"/>
  <c r="D874" i="4"/>
  <c r="G874" i="4"/>
  <c r="C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E875" i="4"/>
  <c r="C875" i="4"/>
  <c r="B875" i="4"/>
  <c r="G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B876" i="4"/>
  <c r="D876" i="4"/>
  <c r="G876" i="4"/>
  <c r="C876" i="4"/>
  <c r="F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F877" i="4"/>
  <c r="G877" i="4"/>
  <c r="B877" i="4"/>
  <c r="D877" i="4"/>
  <c r="C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C878" i="4"/>
  <c r="E878" i="4"/>
  <c r="G878" i="4"/>
  <c r="D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F879" i="4"/>
  <c r="G879" i="4"/>
  <c r="C879" i="4"/>
  <c r="B879" i="4"/>
  <c r="E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B880" i="4"/>
  <c r="E880" i="4"/>
  <c r="C880" i="4"/>
  <c r="F880" i="4"/>
  <c r="G880" i="4"/>
  <c r="D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C881" i="4"/>
  <c r="F881" i="4"/>
  <c r="G881" i="4"/>
  <c r="B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F882" i="4"/>
  <c r="G882" i="4"/>
  <c r="B882" i="4"/>
  <c r="D882" i="4"/>
  <c r="C882" i="4"/>
  <c r="E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C883" i="4"/>
  <c r="G883" i="4"/>
  <c r="B883" i="4"/>
  <c r="D883" i="4"/>
  <c r="F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B884" i="4"/>
  <c r="G884" i="4"/>
  <c r="F884" i="4"/>
  <c r="D884" i="4"/>
  <c r="E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C885" i="4"/>
  <c r="F885" i="4"/>
  <c r="B885" i="4"/>
  <c r="D885" i="4"/>
  <c r="G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C886" i="4"/>
  <c r="B886" i="4"/>
  <c r="E886" i="4"/>
  <c r="D886" i="4"/>
  <c r="F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B887" i="4"/>
  <c r="G887" i="4"/>
  <c r="C887" i="4"/>
  <c r="F887" i="4"/>
  <c r="D887" i="4"/>
  <c r="E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G888" i="4"/>
  <c r="D888" i="4"/>
  <c r="E888" i="4"/>
  <c r="C888" i="4"/>
  <c r="B888" i="4"/>
  <c r="F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G889" i="4"/>
  <c r="E889" i="4"/>
  <c r="F889" i="4"/>
  <c r="C889" i="4"/>
  <c r="D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E890" i="4"/>
  <c r="B890" i="4"/>
  <c r="D890" i="4"/>
  <c r="F890" i="4"/>
  <c r="G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C891" i="4"/>
  <c r="G891" i="4"/>
  <c r="E891" i="4"/>
  <c r="B891" i="4"/>
  <c r="D891" i="4"/>
  <c r="F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C892" i="4"/>
  <c r="D892" i="4"/>
  <c r="B892" i="4"/>
  <c r="E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D893" i="4"/>
  <c r="B893" i="4"/>
  <c r="G893" i="4"/>
  <c r="C893" i="4"/>
  <c r="F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E894" i="4"/>
  <c r="F894" i="4"/>
  <c r="G894" i="4"/>
  <c r="D894" i="4"/>
  <c r="C894" i="4"/>
  <c r="B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F895" i="4"/>
  <c r="C895" i="4"/>
  <c r="D895" i="4"/>
  <c r="B895" i="4"/>
  <c r="E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G896" i="4"/>
  <c r="C896" i="4"/>
  <c r="D896" i="4"/>
  <c r="E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D897" i="4"/>
  <c r="E897" i="4"/>
  <c r="F897" i="4"/>
  <c r="B897" i="4"/>
  <c r="G897" i="4"/>
  <c r="C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D898" i="4"/>
  <c r="G898" i="4"/>
  <c r="F898" i="4"/>
  <c r="E898" i="4"/>
  <c r="C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C899" i="4"/>
  <c r="G899" i="4"/>
  <c r="B899" i="4"/>
  <c r="D899" i="4"/>
  <c r="F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B900" i="4"/>
  <c r="D900" i="4"/>
  <c r="E900" i="4"/>
  <c r="G900" i="4"/>
  <c r="C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E901" i="4"/>
  <c r="G901" i="4"/>
  <c r="C901" i="4"/>
  <c r="F901" i="4"/>
  <c r="B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F902" i="4"/>
  <c r="E902" i="4"/>
  <c r="B902" i="4"/>
  <c r="D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E903" i="4"/>
  <c r="B903" i="4"/>
  <c r="C903" i="4"/>
  <c r="G903" i="4"/>
  <c r="F903" i="4"/>
  <c r="D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C904" i="4"/>
  <c r="E904" i="4"/>
  <c r="G904" i="4"/>
  <c r="F904" i="4"/>
  <c r="B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B905" i="4"/>
  <c r="E905" i="4"/>
  <c r="F905" i="4"/>
  <c r="D905" i="4"/>
  <c r="G905" i="4"/>
  <c r="C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G906" i="4"/>
  <c r="E906" i="4"/>
  <c r="D906" i="4"/>
  <c r="F906" i="4"/>
  <c r="B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B907" i="4"/>
  <c r="C907" i="4"/>
  <c r="F907" i="4"/>
  <c r="E907" i="4"/>
  <c r="D907" i="4"/>
  <c r="G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D908" i="4"/>
  <c r="F908" i="4"/>
  <c r="G908" i="4"/>
  <c r="B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F909" i="4"/>
  <c r="C909" i="4"/>
  <c r="E909" i="4"/>
  <c r="D909" i="4"/>
  <c r="G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E910" i="4"/>
  <c r="B910" i="4"/>
  <c r="G910" i="4"/>
  <c r="C910" i="4"/>
  <c r="F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C911" i="4"/>
  <c r="D911" i="4"/>
  <c r="E911" i="4"/>
  <c r="F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C912" i="4"/>
  <c r="E912" i="4"/>
  <c r="D912" i="4"/>
  <c r="G912" i="4"/>
  <c r="B912" i="4"/>
  <c r="F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D913" i="4"/>
  <c r="B913" i="4"/>
  <c r="E913" i="4"/>
  <c r="C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D914" i="4"/>
  <c r="C914" i="4"/>
  <c r="E914" i="4"/>
  <c r="F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E915" i="4"/>
  <c r="G915" i="4"/>
  <c r="C915" i="4"/>
  <c r="D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F916" i="4"/>
  <c r="B916" i="4"/>
  <c r="C916" i="4"/>
  <c r="E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B917" i="4"/>
  <c r="G917" i="4"/>
  <c r="F917" i="4"/>
  <c r="E917" i="4"/>
  <c r="D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C918" i="4"/>
  <c r="F918" i="4"/>
  <c r="G918" i="4"/>
  <c r="E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D919" i="4"/>
  <c r="G919" i="4"/>
  <c r="C919" i="4"/>
  <c r="E919" i="4"/>
  <c r="F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F920" i="4"/>
  <c r="E920" i="4"/>
  <c r="B920" i="4"/>
  <c r="D920" i="4"/>
  <c r="G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D921" i="4"/>
  <c r="C921" i="4"/>
  <c r="F921" i="4"/>
  <c r="B921" i="4"/>
  <c r="G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F922" i="4"/>
  <c r="E922" i="4"/>
  <c r="C922" i="4"/>
  <c r="B922" i="4"/>
  <c r="D922" i="4"/>
  <c r="G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C923" i="4"/>
  <c r="G923" i="4"/>
  <c r="E923" i="4"/>
  <c r="F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D924" i="4"/>
  <c r="F924" i="4"/>
  <c r="C924" i="4"/>
  <c r="G924" i="4"/>
  <c r="E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E925" i="4"/>
  <c r="G925" i="4"/>
  <c r="D925" i="4"/>
  <c r="B925" i="4"/>
  <c r="C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G926" i="4"/>
  <c r="D926" i="4"/>
  <c r="C926" i="4"/>
  <c r="E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F927" i="4"/>
  <c r="D927" i="4"/>
  <c r="E927" i="4"/>
  <c r="B927" i="4"/>
  <c r="G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D928" i="4"/>
  <c r="C928" i="4"/>
  <c r="F928" i="4"/>
  <c r="G928" i="4"/>
  <c r="B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C929" i="4"/>
  <c r="F929" i="4"/>
  <c r="E929" i="4"/>
  <c r="B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G930" i="4"/>
  <c r="E930" i="4"/>
  <c r="D930" i="4"/>
  <c r="F930" i="4"/>
  <c r="B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D931" i="4"/>
  <c r="C931" i="4"/>
  <c r="E931" i="4"/>
  <c r="B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C932" i="4"/>
  <c r="B932" i="4"/>
  <c r="F932" i="4"/>
  <c r="E932" i="4"/>
  <c r="D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E933" i="4"/>
  <c r="F933" i="4"/>
  <c r="B933" i="4"/>
  <c r="D933" i="4"/>
  <c r="G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D934" i="4"/>
  <c r="E934" i="4"/>
  <c r="F934" i="4"/>
  <c r="C934" i="4"/>
  <c r="G934" i="4"/>
  <c r="B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B935" i="4"/>
  <c r="F935" i="4"/>
  <c r="C935" i="4"/>
  <c r="E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E936" i="4"/>
  <c r="G936" i="4"/>
  <c r="D936" i="4"/>
  <c r="B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D937" i="4"/>
  <c r="E937" i="4"/>
  <c r="C937" i="4"/>
  <c r="B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C938" i="4"/>
  <c r="B938" i="4"/>
  <c r="E938" i="4"/>
  <c r="D938" i="4"/>
  <c r="G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B939" i="4"/>
  <c r="F939" i="4"/>
  <c r="D939" i="4"/>
  <c r="G939" i="4"/>
  <c r="C939" i="4"/>
  <c r="E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G940" i="4"/>
  <c r="B940" i="4"/>
  <c r="E940" i="4"/>
  <c r="C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G941" i="4"/>
  <c r="C941" i="4"/>
  <c r="E941" i="4"/>
  <c r="D941" i="4"/>
  <c r="B941" i="4"/>
  <c r="F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C942" i="4"/>
  <c r="B942" i="4"/>
  <c r="F942" i="4"/>
  <c r="G942" i="4"/>
  <c r="E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F943" i="4"/>
  <c r="D943" i="4"/>
  <c r="C943" i="4"/>
  <c r="B943" i="4"/>
  <c r="E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F944" i="4"/>
  <c r="G944" i="4"/>
  <c r="B944" i="4"/>
  <c r="E944" i="4"/>
  <c r="D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D945" i="4"/>
  <c r="F945" i="4"/>
  <c r="B945" i="4"/>
  <c r="E945" i="4"/>
  <c r="G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B946" i="4"/>
  <c r="D946" i="4"/>
  <c r="G946" i="4"/>
  <c r="C946" i="4"/>
  <c r="E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B947" i="4"/>
  <c r="C947" i="4"/>
  <c r="F947" i="4"/>
  <c r="E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G948" i="4"/>
  <c r="C948" i="4"/>
  <c r="B948" i="4"/>
  <c r="E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E949" i="4"/>
  <c r="F949" i="4"/>
  <c r="G949" i="4"/>
  <c r="D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C950" i="4"/>
  <c r="D950" i="4"/>
  <c r="G950" i="4"/>
  <c r="B950" i="4"/>
  <c r="F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E951" i="4"/>
  <c r="B951" i="4"/>
  <c r="G951" i="4"/>
  <c r="F951" i="4"/>
  <c r="C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E952" i="4"/>
  <c r="D952" i="4"/>
  <c r="G952" i="4"/>
  <c r="C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G953" i="4"/>
  <c r="D953" i="4"/>
  <c r="C953" i="4"/>
  <c r="E953" i="4"/>
  <c r="B953" i="4"/>
  <c r="F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G954" i="4"/>
  <c r="E954" i="4"/>
  <c r="D954" i="4"/>
  <c r="C954" i="4"/>
  <c r="B954" i="4"/>
  <c r="F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E955" i="4"/>
  <c r="D955" i="4"/>
  <c r="G955" i="4"/>
  <c r="B955" i="4"/>
  <c r="F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B956" i="4"/>
  <c r="E956" i="4"/>
  <c r="D956" i="4"/>
  <c r="C956" i="4"/>
  <c r="G956" i="4"/>
  <c r="F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G957" i="4"/>
  <c r="B957" i="4"/>
  <c r="E957" i="4"/>
  <c r="C957" i="4"/>
  <c r="D957" i="4"/>
  <c r="F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B958" i="4"/>
  <c r="E958" i="4"/>
  <c r="F958" i="4"/>
  <c r="C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C959" i="4"/>
  <c r="D959" i="4"/>
  <c r="B959" i="4"/>
  <c r="G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G960" i="4"/>
  <c r="F960" i="4"/>
  <c r="D960" i="4"/>
  <c r="E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E961" i="4"/>
  <c r="C961" i="4"/>
  <c r="D961" i="4"/>
  <c r="G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E962" i="4"/>
  <c r="D962" i="4"/>
  <c r="B962" i="4"/>
  <c r="F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D963" i="4"/>
  <c r="G963" i="4"/>
  <c r="E963" i="4"/>
  <c r="F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F964" i="4"/>
  <c r="E964" i="4"/>
  <c r="C964" i="4"/>
  <c r="G964" i="4"/>
  <c r="B964" i="4"/>
  <c r="D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G965" i="4"/>
  <c r="D965" i="4"/>
  <c r="C965" i="4"/>
  <c r="E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G966" i="4"/>
  <c r="B966" i="4"/>
  <c r="C966" i="4"/>
  <c r="F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G967" i="4"/>
  <c r="F967" i="4"/>
  <c r="B967" i="4"/>
  <c r="D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G968" i="4"/>
  <c r="E968" i="4"/>
  <c r="D968" i="4"/>
  <c r="C968" i="4"/>
  <c r="B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E969" i="4"/>
  <c r="F969" i="4"/>
  <c r="C969" i="4"/>
  <c r="D969" i="4"/>
  <c r="B969" i="4"/>
  <c r="G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D970" i="4"/>
  <c r="F970" i="4"/>
  <c r="G970" i="4"/>
  <c r="C970" i="4"/>
  <c r="B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F971" i="4"/>
  <c r="E971" i="4"/>
  <c r="C971" i="4"/>
  <c r="G971" i="4"/>
  <c r="B971" i="4"/>
  <c r="D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D972" i="4"/>
  <c r="C972" i="4"/>
  <c r="G972" i="4"/>
  <c r="B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F973" i="4"/>
  <c r="C973" i="4"/>
  <c r="E973" i="4"/>
  <c r="D973" i="4"/>
  <c r="B973" i="4"/>
  <c r="G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F974" i="4"/>
  <c r="D974" i="4"/>
  <c r="B974" i="4"/>
  <c r="E974" i="4"/>
  <c r="C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F975" i="4"/>
  <c r="B975" i="4"/>
  <c r="G975" i="4"/>
  <c r="E975" i="4"/>
  <c r="D975" i="4"/>
  <c r="C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D976" i="4"/>
  <c r="F976" i="4"/>
  <c r="B976" i="4"/>
  <c r="G976" i="4"/>
  <c r="C976" i="4"/>
  <c r="E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E977" i="4"/>
  <c r="B977" i="4"/>
  <c r="D977" i="4"/>
  <c r="F977" i="4"/>
  <c r="G977" i="4"/>
  <c r="C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F978" i="4"/>
  <c r="B978" i="4"/>
  <c r="G978" i="4"/>
  <c r="E978" i="4"/>
  <c r="D978" i="4"/>
  <c r="C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G979" i="4"/>
  <c r="E979" i="4"/>
  <c r="D979" i="4"/>
  <c r="F979" i="4"/>
  <c r="B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G980" i="4"/>
  <c r="E980" i="4"/>
  <c r="F980" i="4"/>
  <c r="B980" i="4"/>
  <c r="D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D981" i="4"/>
  <c r="F981" i="4"/>
  <c r="B981" i="4"/>
  <c r="C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F982" i="4"/>
  <c r="D982" i="4"/>
  <c r="G982" i="4"/>
  <c r="C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G983" i="4"/>
  <c r="F983" i="4"/>
  <c r="B983" i="4"/>
  <c r="D983" i="4"/>
  <c r="E983" i="4"/>
  <c r="C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C984" i="4"/>
  <c r="E984" i="4"/>
  <c r="F984" i="4"/>
  <c r="G984" i="4"/>
  <c r="D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F985" i="4"/>
  <c r="D985" i="4"/>
  <c r="C985" i="4"/>
  <c r="G985" i="4"/>
  <c r="E985" i="4"/>
  <c r="B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E986" i="4"/>
  <c r="F986" i="4"/>
  <c r="B986" i="4"/>
  <c r="G986" i="4"/>
  <c r="D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B987" i="4"/>
  <c r="E987" i="4"/>
  <c r="C987" i="4"/>
  <c r="G987" i="4"/>
  <c r="F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G988" i="4"/>
  <c r="C988" i="4"/>
  <c r="D988" i="4"/>
  <c r="B988" i="4"/>
  <c r="E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F989" i="4"/>
  <c r="B989" i="4"/>
  <c r="G989" i="4"/>
  <c r="C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F990" i="4"/>
  <c r="G990" i="4"/>
  <c r="B990" i="4"/>
  <c r="E990" i="4"/>
  <c r="C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C991" i="4"/>
  <c r="F991" i="4"/>
  <c r="B991" i="4"/>
  <c r="D991" i="4"/>
  <c r="E991" i="4"/>
  <c r="G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E992" i="4"/>
  <c r="B992" i="4"/>
  <c r="D992" i="4"/>
  <c r="F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G993" i="4"/>
  <c r="E993" i="4"/>
  <c r="C993" i="4"/>
  <c r="F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C994" i="4"/>
  <c r="D994" i="4"/>
  <c r="G994" i="4"/>
  <c r="F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B995" i="4"/>
  <c r="G995" i="4"/>
  <c r="E995" i="4"/>
  <c r="D995" i="4"/>
  <c r="C995" i="4"/>
  <c r="F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D996" i="4"/>
  <c r="E996" i="4"/>
  <c r="G996" i="4"/>
  <c r="F996" i="4"/>
  <c r="B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B997" i="4"/>
  <c r="G997" i="4"/>
  <c r="F997" i="4"/>
  <c r="C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F998" i="4"/>
  <c r="C998" i="4"/>
  <c r="E998" i="4"/>
  <c r="B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G999" i="4"/>
  <c r="E999" i="4"/>
  <c r="F999" i="4"/>
  <c r="C999" i="4"/>
  <c r="D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B1000" i="4"/>
  <c r="F1000" i="4"/>
  <c r="G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D1001" i="4"/>
  <c r="F1001" i="4"/>
  <c r="B1001" i="4"/>
  <c r="G1001" i="4"/>
  <c r="E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F1002" i="4"/>
  <c r="B1002" i="4"/>
  <c r="G1002" i="4"/>
  <c r="E1002" i="4"/>
  <c r="D1002" i="4"/>
  <c r="C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C1003" i="4"/>
  <c r="E1003" i="4"/>
  <c r="B1003" i="4"/>
  <c r="F1003" i="4"/>
  <c r="G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G1004" i="4"/>
  <c r="F1004" i="4"/>
  <c r="D1004" i="4"/>
  <c r="E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G1005" i="4"/>
  <c r="D1005" i="4"/>
  <c r="E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B1006" i="4"/>
  <c r="C1006" i="4"/>
  <c r="F1006" i="4"/>
  <c r="E1006" i="4"/>
  <c r="G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D1007" i="4"/>
  <c r="B1007" i="4"/>
  <c r="C1007" i="4"/>
  <c r="F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F1008" i="4"/>
  <c r="G1008" i="4"/>
  <c r="D1008" i="4"/>
  <c r="C1008" i="4"/>
  <c r="E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B1009" i="4"/>
  <c r="F1009" i="4"/>
  <c r="C1009" i="4"/>
  <c r="G1009" i="4"/>
  <c r="D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F1010" i="4"/>
  <c r="C1010" i="4"/>
  <c r="G1010" i="4"/>
  <c r="E1010" i="4"/>
  <c r="B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C1011" i="4"/>
  <c r="F1011" i="4"/>
  <c r="G1011" i="4"/>
  <c r="B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F1012" i="4"/>
  <c r="D1012" i="4"/>
  <c r="C1012" i="4"/>
  <c r="E1012" i="4"/>
  <c r="G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E1013" i="4"/>
  <c r="C1013" i="4"/>
  <c r="D1013" i="4"/>
  <c r="G1013" i="4"/>
  <c r="B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E1014" i="4"/>
  <c r="G1014" i="4"/>
  <c r="D1014" i="4"/>
  <c r="B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D1015" i="4"/>
  <c r="E1015" i="4"/>
  <c r="G1015" i="4"/>
  <c r="F1015" i="4"/>
  <c r="C1015" i="4"/>
  <c r="B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F1016" i="4"/>
  <c r="D1016" i="4"/>
  <c r="G1016" i="4"/>
  <c r="B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G1017" i="4"/>
  <c r="C1017" i="4"/>
  <c r="B1017" i="4"/>
  <c r="E1017" i="4"/>
  <c r="F1017" i="4"/>
  <c r="D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D1018" i="4"/>
  <c r="B1018" i="4"/>
  <c r="F1018" i="4"/>
  <c r="C1018" i="4"/>
  <c r="G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F1019" i="4"/>
  <c r="G1019" i="4"/>
  <c r="D1019" i="4"/>
  <c r="C1019" i="4"/>
  <c r="E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G1020" i="4"/>
  <c r="C1020" i="4"/>
  <c r="E1020" i="4"/>
  <c r="B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C1021" i="4"/>
  <c r="F1021" i="4"/>
  <c r="G1021" i="4"/>
  <c r="E1021" i="4"/>
  <c r="D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B1022" i="4"/>
  <c r="C1022" i="4"/>
  <c r="F1022" i="4"/>
  <c r="G1022" i="4"/>
  <c r="E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B1023" i="4"/>
  <c r="G1023" i="4"/>
  <c r="E1023" i="4"/>
  <c r="F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D1024" i="4"/>
  <c r="F1024" i="4"/>
  <c r="C1024" i="4"/>
  <c r="E1024" i="4"/>
  <c r="B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E1025" i="4"/>
  <c r="D1025" i="4"/>
  <c r="F1025" i="4"/>
  <c r="B1025" i="4"/>
  <c r="C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B1026" i="4"/>
  <c r="E1026" i="4"/>
  <c r="F1026" i="4"/>
  <c r="G1026" i="4"/>
  <c r="C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D1027" i="4"/>
  <c r="F1027" i="4"/>
  <c r="B1027" i="4"/>
  <c r="C1027" i="4"/>
  <c r="G1027" i="4"/>
  <c r="E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D1028" i="4"/>
  <c r="E1028" i="4"/>
  <c r="G1028" i="4"/>
  <c r="F1028" i="4"/>
  <c r="C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G1029" i="4"/>
  <c r="F1029" i="4"/>
  <c r="B1029" i="4"/>
  <c r="E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F1030" i="4"/>
  <c r="C1030" i="4"/>
  <c r="D1030" i="4"/>
  <c r="B1030" i="4"/>
  <c r="G1030" i="4"/>
  <c r="B1029" i="6" l="1"/>
  <c r="C1029" i="6" s="1"/>
  <c r="D1029" i="6" s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H1030" i="4"/>
  <c r="I1030" i="4"/>
  <c r="A1030" i="6"/>
  <c r="A1031" i="8" s="1"/>
  <c r="G1031" i="4"/>
  <c r="E1031" i="4"/>
  <c r="C1031" i="4"/>
  <c r="D1031" i="4"/>
  <c r="F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B1032" i="4"/>
  <c r="G1032" i="4"/>
  <c r="D1032" i="4"/>
  <c r="F1032" i="4"/>
  <c r="C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C1033" i="4"/>
  <c r="D1033" i="4"/>
  <c r="E1033" i="4"/>
  <c r="G1033" i="4"/>
  <c r="B1033" i="4"/>
  <c r="F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C1034" i="4"/>
  <c r="G1034" i="4"/>
  <c r="B1034" i="4"/>
  <c r="D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D1035" i="4"/>
  <c r="F1035" i="4"/>
  <c r="E1035" i="4"/>
  <c r="G1035" i="4"/>
  <c r="B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F1036" i="4"/>
  <c r="B1036" i="4"/>
  <c r="D1036" i="4"/>
  <c r="C1036" i="4"/>
  <c r="E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F1037" i="4"/>
  <c r="C1037" i="4"/>
  <c r="G1037" i="4"/>
  <c r="D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G1038" i="4"/>
  <c r="B1038" i="4"/>
  <c r="D1038" i="4"/>
  <c r="C1038" i="4"/>
  <c r="E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D1039" i="4"/>
  <c r="B1039" i="4"/>
  <c r="E1039" i="4"/>
  <c r="C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D1040" i="4"/>
  <c r="F1040" i="4"/>
  <c r="G1040" i="4"/>
  <c r="C1040" i="4"/>
  <c r="E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C1041" i="4"/>
  <c r="B1041" i="4"/>
  <c r="G1041" i="4"/>
  <c r="D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E1042" i="4"/>
  <c r="C1042" i="4"/>
  <c r="B1042" i="4"/>
  <c r="F1042" i="4"/>
  <c r="D1042" i="4"/>
  <c r="G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E1043" i="4"/>
  <c r="F1043" i="4"/>
  <c r="G1043" i="4"/>
  <c r="C1043" i="4"/>
  <c r="B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E1044" i="4"/>
  <c r="B1044" i="4"/>
  <c r="G1044" i="4"/>
  <c r="F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B1045" i="4"/>
  <c r="C1045" i="4"/>
  <c r="E1045" i="4"/>
  <c r="G1045" i="4"/>
  <c r="F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D1046" i="4"/>
  <c r="C1046" i="4"/>
  <c r="F1046" i="4"/>
  <c r="E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F1047" i="4"/>
  <c r="C1047" i="4"/>
  <c r="G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E1048" i="4"/>
  <c r="D1048" i="4"/>
  <c r="B1048" i="4"/>
  <c r="C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E1049" i="4"/>
  <c r="G1049" i="4"/>
  <c r="F1049" i="4"/>
  <c r="C1049" i="4"/>
  <c r="B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G1050" i="4"/>
  <c r="B1050" i="4"/>
  <c r="D1050" i="4"/>
  <c r="C1050" i="4"/>
  <c r="F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E1051" i="4"/>
  <c r="C1051" i="4"/>
  <c r="G1051" i="4"/>
  <c r="D1051" i="4"/>
  <c r="F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E1052" i="4"/>
  <c r="G1052" i="4"/>
  <c r="C1052" i="4"/>
  <c r="B1052" i="4"/>
  <c r="F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E1053" i="4"/>
  <c r="D1053" i="4"/>
  <c r="B1053" i="4"/>
  <c r="C1053" i="4"/>
  <c r="F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G1054" i="4"/>
  <c r="F1054" i="4"/>
  <c r="C1054" i="4"/>
  <c r="D1054" i="4"/>
  <c r="E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E1055" i="4"/>
  <c r="B1055" i="4"/>
  <c r="G1055" i="4"/>
  <c r="F1055" i="4"/>
  <c r="C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G1056" i="4"/>
  <c r="E1056" i="4"/>
  <c r="F1056" i="4"/>
  <c r="B1056" i="4"/>
  <c r="D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B1057" i="4"/>
  <c r="F1057" i="4"/>
  <c r="C1057" i="4"/>
  <c r="E1057" i="4"/>
  <c r="G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C1058" i="4"/>
  <c r="F1058" i="4"/>
  <c r="D1058" i="4"/>
  <c r="G1058" i="4"/>
  <c r="E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D1059" i="4"/>
  <c r="F1059" i="4"/>
  <c r="C1059" i="4"/>
  <c r="B1059" i="4"/>
  <c r="E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D1060" i="4"/>
  <c r="C1060" i="4"/>
  <c r="E1060" i="4"/>
  <c r="B1060" i="4"/>
  <c r="F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G1061" i="4"/>
  <c r="C1061" i="4"/>
  <c r="E1061" i="4"/>
  <c r="B1061" i="4"/>
  <c r="D1061" i="4"/>
  <c r="F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D1062" i="4"/>
  <c r="C1062" i="4"/>
  <c r="B1062" i="4"/>
  <c r="F1062" i="4"/>
  <c r="G1062" i="4"/>
  <c r="E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F1063" i="4"/>
  <c r="B1063" i="4"/>
  <c r="G1063" i="4"/>
  <c r="D1063" i="4"/>
  <c r="C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F1064" i="4"/>
  <c r="C1064" i="4"/>
  <c r="B1064" i="4"/>
  <c r="E1064" i="4"/>
  <c r="G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F1065" i="4"/>
  <c r="E1065" i="4"/>
  <c r="D1065" i="4"/>
  <c r="G1065" i="4"/>
  <c r="C1065" i="4"/>
  <c r="B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G1066" i="4"/>
  <c r="F1066" i="4"/>
  <c r="E1066" i="4"/>
  <c r="B1066" i="4"/>
  <c r="D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D1067" i="4"/>
  <c r="G1067" i="4"/>
  <c r="C1067" i="4"/>
  <c r="F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C1068" i="4"/>
  <c r="D1068" i="4"/>
  <c r="F1068" i="4"/>
  <c r="G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B1069" i="4"/>
  <c r="C1069" i="4"/>
  <c r="F1069" i="4"/>
  <c r="D1069" i="4"/>
  <c r="E1069" i="4"/>
  <c r="G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C1070" i="4"/>
  <c r="G1070" i="4"/>
  <c r="F1070" i="4"/>
  <c r="D1070" i="4"/>
  <c r="B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D1071" i="4"/>
  <c r="G1071" i="4"/>
  <c r="E1071" i="4"/>
  <c r="B1071" i="4"/>
  <c r="F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G1072" i="4"/>
  <c r="D1072" i="4"/>
  <c r="B1072" i="4"/>
  <c r="E1072" i="4"/>
  <c r="C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F1073" i="4"/>
  <c r="B1073" i="4"/>
  <c r="D1073" i="4"/>
  <c r="E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F1074" i="4"/>
  <c r="B1074" i="4"/>
  <c r="C1074" i="4"/>
  <c r="E1074" i="4"/>
  <c r="D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F1075" i="4"/>
  <c r="C1075" i="4"/>
  <c r="G1075" i="4"/>
  <c r="B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D1076" i="4"/>
  <c r="G1076" i="4"/>
  <c r="B1076" i="4"/>
  <c r="C1076" i="4"/>
  <c r="E1076" i="4"/>
  <c r="F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F1077" i="4"/>
  <c r="D1077" i="4"/>
  <c r="E1077" i="4"/>
  <c r="G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E1078" i="4"/>
  <c r="F1078" i="4"/>
  <c r="C1078" i="4"/>
  <c r="B1078" i="4"/>
  <c r="G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C1079" i="4"/>
  <c r="G1079" i="4"/>
  <c r="E1079" i="4"/>
  <c r="F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E1080" i="4"/>
  <c r="C1080" i="4"/>
  <c r="F1080" i="4"/>
  <c r="B1080" i="4"/>
  <c r="D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C1081" i="4"/>
  <c r="B1081" i="4"/>
  <c r="D1081" i="4"/>
  <c r="E1081" i="4"/>
  <c r="F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E1082" i="4"/>
  <c r="C1082" i="4"/>
  <c r="F1082" i="4"/>
  <c r="B1082" i="4"/>
  <c r="D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C1083" i="4"/>
  <c r="D1083" i="4"/>
  <c r="B1083" i="4"/>
  <c r="F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F1084" i="4"/>
  <c r="D1084" i="4"/>
  <c r="B1084" i="4"/>
  <c r="C1084" i="4"/>
  <c r="E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D1085" i="4"/>
  <c r="E1085" i="4"/>
  <c r="G1085" i="4"/>
  <c r="F1085" i="4"/>
  <c r="B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E1086" i="4"/>
  <c r="C1086" i="4"/>
  <c r="B1086" i="4"/>
  <c r="G1086" i="4"/>
  <c r="F1086" i="4"/>
  <c r="D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E1087" i="4"/>
  <c r="B1087" i="4"/>
  <c r="F1087" i="4"/>
  <c r="G1087" i="4"/>
  <c r="D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G1088" i="4"/>
  <c r="D1088" i="4"/>
  <c r="C1088" i="4"/>
  <c r="B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B1089" i="4"/>
  <c r="G1089" i="4"/>
  <c r="D1089" i="4"/>
  <c r="F1089" i="4"/>
  <c r="C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G1090" i="4"/>
  <c r="F1090" i="4"/>
  <c r="E1090" i="4"/>
  <c r="B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E1091" i="4"/>
  <c r="G1091" i="4"/>
  <c r="D1091" i="4"/>
  <c r="B1091" i="4"/>
  <c r="C1091" i="4"/>
  <c r="F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B1092" i="4"/>
  <c r="F1092" i="4"/>
  <c r="E1092" i="4"/>
  <c r="D1092" i="4"/>
  <c r="C1092" i="4"/>
  <c r="G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D1093" i="4"/>
  <c r="F1093" i="4"/>
  <c r="B1093" i="4"/>
  <c r="C1093" i="4"/>
  <c r="E1093" i="4"/>
  <c r="G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F1094" i="4"/>
  <c r="B1094" i="4"/>
  <c r="D1094" i="4"/>
  <c r="C1094" i="4"/>
  <c r="E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B1095" i="4"/>
  <c r="F1095" i="4"/>
  <c r="E1095" i="4"/>
  <c r="C1095" i="4"/>
  <c r="D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G1096" i="4"/>
  <c r="B1096" i="4"/>
  <c r="D1096" i="4"/>
  <c r="C1096" i="4"/>
  <c r="F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D1097" i="4"/>
  <c r="G1097" i="4"/>
  <c r="E1097" i="4"/>
  <c r="C1097" i="4"/>
  <c r="F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C1098" i="4"/>
  <c r="B1098" i="4"/>
  <c r="E1098" i="4"/>
  <c r="F1098" i="4"/>
  <c r="G1098" i="4"/>
  <c r="D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F1099" i="4"/>
  <c r="C1099" i="4"/>
  <c r="G1099" i="4"/>
  <c r="D1099" i="4"/>
  <c r="B1099" i="4"/>
  <c r="E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E1100" i="4"/>
  <c r="D1100" i="4"/>
  <c r="F1100" i="4"/>
  <c r="C1100" i="4"/>
  <c r="B1100" i="4"/>
  <c r="G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C1101" i="4"/>
  <c r="F1101" i="4"/>
  <c r="E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C1102" i="4"/>
  <c r="E1102" i="4"/>
  <c r="D1102" i="4"/>
  <c r="F1102" i="4"/>
  <c r="B1102" i="4"/>
  <c r="G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G1103" i="4"/>
  <c r="C1103" i="4"/>
  <c r="E1103" i="4"/>
  <c r="F1103" i="4"/>
  <c r="B1103" i="4"/>
  <c r="D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E1104" i="4"/>
  <c r="C1104" i="4"/>
  <c r="G1104" i="4"/>
  <c r="D1104" i="4"/>
  <c r="B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<sst xmlns="http://schemas.openxmlformats.org/spreadsheetml/2006/main" count="147" uniqueCount="111">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</sst>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83"/>
  <sheetViews>
    <sheetView topLeftCell="A1159" workbookViewId="0">
      <selection activeCell="A1122" sqref="A1122:I1183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83" si="56">AVERAGE(B1160:D1160)</f>
        <v>179.51329999999999</v>
      </c>
      <c r="I1160">
        <f t="shared" ref="I1160:I1183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  <row r="1175" spans="1:9">
      <c r="A1175" s="3">
        <f>信用曲线—价格!A1175</f>
        <v>46279</v>
      </c>
      <c r="B1175" s="1">
        <f>[1]!i_dq_close($B$1,A1175)</f>
        <v>161.54859999999999</v>
      </c>
      <c r="C1175" s="1">
        <f>[1]!i_dq_close($C$1,A1175)</f>
        <v>180.88919999999999</v>
      </c>
      <c r="D1175" s="1">
        <f>[1]!i_dq_close($D$1,A1175)</f>
        <v>196.8383</v>
      </c>
      <c r="E1175" s="1">
        <f>[1]!i_dq_close($E$1,A1175)</f>
        <v>207.1105</v>
      </c>
      <c r="F1175" s="1">
        <f>[1]!i_dq_close($F$1,A1175)</f>
        <v>222.2629</v>
      </c>
      <c r="G1175" s="1">
        <f>[1]!i_dq_close($G$1,A1175)</f>
        <v>237.4863</v>
      </c>
      <c r="H1175">
        <f t="shared" si="56"/>
        <v>179.7587</v>
      </c>
      <c r="I1175">
        <f t="shared" si="57"/>
        <v>222.28656666666666</v>
      </c>
    </row>
    <row r="1176" spans="1:9">
      <c r="A1176" s="3">
        <f>信用曲线—价格!A1176</f>
        <v>46280</v>
      </c>
      <c r="B1176" s="1">
        <f>[1]!i_dq_close($B$1,A1176)</f>
        <v>161.55719999999999</v>
      </c>
      <c r="C1176" s="1">
        <f>[1]!i_dq_close($C$1,A1176)</f>
        <v>180.9058</v>
      </c>
      <c r="D1176" s="1">
        <f>[1]!i_dq_close($D$1,A1176)</f>
        <v>196.88229999999999</v>
      </c>
      <c r="E1176" s="1">
        <f>[1]!i_dq_close($E$1,A1176)</f>
        <v>207.11179999999999</v>
      </c>
      <c r="F1176" s="1">
        <f>[1]!i_dq_close($F$1,A1176)</f>
        <v>222.42449999999999</v>
      </c>
      <c r="G1176" s="1">
        <f>[1]!i_dq_close($G$1,A1176)</f>
        <v>237.6036</v>
      </c>
      <c r="H1176">
        <f t="shared" si="56"/>
        <v>179.78176666666664</v>
      </c>
      <c r="I1176">
        <f t="shared" si="57"/>
        <v>222.37996666666666</v>
      </c>
    </row>
    <row r="1177" spans="1:9">
      <c r="A1177" s="3">
        <f>信用曲线—价格!A1177</f>
        <v>46281</v>
      </c>
      <c r="B1177" s="1">
        <f>[1]!i_dq_close($B$1,A1177)</f>
        <v>161.5624</v>
      </c>
      <c r="C1177" s="1">
        <f>[1]!i_dq_close($C$1,A1177)</f>
        <v>180.9187</v>
      </c>
      <c r="D1177" s="1">
        <f>[1]!i_dq_close($D$1,A1177)</f>
        <v>196.9246</v>
      </c>
      <c r="E1177" s="1">
        <f>[1]!i_dq_close($E$1,A1177)</f>
        <v>207.11580000000001</v>
      </c>
      <c r="F1177" s="1">
        <f>[1]!i_dq_close($F$1,A1177)</f>
        <v>222.52010000000001</v>
      </c>
      <c r="G1177" s="1">
        <f>[1]!i_dq_close($G$1,A1177)</f>
        <v>237.70529999999999</v>
      </c>
      <c r="H1177">
        <f t="shared" si="56"/>
        <v>179.80190000000002</v>
      </c>
      <c r="I1177">
        <f t="shared" si="57"/>
        <v>222.44706666666664</v>
      </c>
    </row>
    <row r="1178" spans="1:9">
      <c r="A1178" s="3">
        <f>信用曲线—价格!A1178</f>
        <v>46282</v>
      </c>
      <c r="B1178" s="1">
        <f>[1]!i_dq_close($B$1,A1178)</f>
        <v>161.57040000000001</v>
      </c>
      <c r="C1178" s="1">
        <f>[1]!i_dq_close($C$1,A1178)</f>
        <v>180.93979999999999</v>
      </c>
      <c r="D1178" s="1">
        <f>[1]!i_dq_close($D$1,A1178)</f>
        <v>196.9478</v>
      </c>
      <c r="E1178" s="1">
        <f>[1]!i_dq_close($E$1,A1178)</f>
        <v>207.14240000000001</v>
      </c>
      <c r="F1178" s="1">
        <f>[1]!i_dq_close($F$1,A1178)</f>
        <v>222.64660000000001</v>
      </c>
      <c r="G1178" s="1">
        <f>[1]!i_dq_close($G$1,A1178)</f>
        <v>237.9486</v>
      </c>
      <c r="H1178">
        <f t="shared" si="56"/>
        <v>179.81933333333333</v>
      </c>
      <c r="I1178">
        <f t="shared" si="57"/>
        <v>222.57919999999999</v>
      </c>
    </row>
    <row r="1179" spans="1:9">
      <c r="A1179" s="3">
        <f>信用曲线—价格!A1179</f>
        <v>46283</v>
      </c>
      <c r="B1179" s="1">
        <f>[1]!i_dq_close($B$1,A1179)</f>
        <v>161.577</v>
      </c>
      <c r="C1179" s="1">
        <f>[1]!i_dq_close($C$1,A1179)</f>
        <v>180.96729999999999</v>
      </c>
      <c r="D1179" s="1">
        <f>[1]!i_dq_close($D$1,A1179)</f>
        <v>197.0136</v>
      </c>
      <c r="E1179" s="1">
        <f>[1]!i_dq_close($E$1,A1179)</f>
        <v>207.2894</v>
      </c>
      <c r="F1179" s="1">
        <f>[1]!i_dq_close($F$1,A1179)</f>
        <v>222.8185</v>
      </c>
      <c r="G1179" s="1">
        <f>[1]!i_dq_close($G$1,A1179)</f>
        <v>238.1481</v>
      </c>
      <c r="H1179">
        <f t="shared" si="56"/>
        <v>179.85263333333333</v>
      </c>
      <c r="I1179">
        <f t="shared" si="57"/>
        <v>222.75199999999998</v>
      </c>
    </row>
    <row r="1180" spans="1:9">
      <c r="A1180" s="3">
        <f>信用曲线—价格!A1180</f>
        <v>46285</v>
      </c>
      <c r="B1180" s="1">
        <f>[1]!i_dq_close($B$1,A1180)</f>
        <v>161.58879999999999</v>
      </c>
      <c r="C1180" s="1">
        <f>[1]!i_dq_close($C$1,A1180)</f>
        <v>180.98599999999999</v>
      </c>
      <c r="D1180" s="1">
        <f>[1]!i_dq_close($D$1,A1180)</f>
        <v>197.05250000000001</v>
      </c>
      <c r="E1180" s="1">
        <f>[1]!i_dq_close($E$1,A1180)</f>
        <v>207.404</v>
      </c>
      <c r="F1180" s="1">
        <f>[1]!i_dq_close($F$1,A1180)</f>
        <v>222.9966</v>
      </c>
      <c r="G1180" s="1">
        <f>[1]!i_dq_close($G$1,A1180)</f>
        <v>238.42230000000001</v>
      </c>
      <c r="H1180">
        <f t="shared" si="56"/>
        <v>179.87576666666666</v>
      </c>
      <c r="I1180">
        <f t="shared" si="57"/>
        <v>222.94096666666667</v>
      </c>
    </row>
    <row r="1181" spans="1:9">
      <c r="A1181" s="3">
        <f>信用曲线—价格!A1181</f>
        <v>46286</v>
      </c>
      <c r="B1181" s="1">
        <f>[1]!i_dq_close($B$1,A1181)</f>
        <v>161.59690000000001</v>
      </c>
      <c r="C1181" s="1">
        <f>[1]!i_dq_close($C$1,A1181)</f>
        <v>181.01079999999999</v>
      </c>
      <c r="D1181" s="1">
        <f>[1]!i_dq_close($D$1,A1181)</f>
        <v>197.11609999999999</v>
      </c>
      <c r="E1181" s="1">
        <f>[1]!i_dq_close($E$1,A1181)</f>
        <v>207.4913</v>
      </c>
      <c r="F1181" s="1">
        <f>[1]!i_dq_close($F$1,A1181)</f>
        <v>223.2183</v>
      </c>
      <c r="G1181" s="1">
        <f>[1]!i_dq_close($G$1,A1181)</f>
        <v>238.61680000000001</v>
      </c>
      <c r="H1181">
        <f t="shared" si="56"/>
        <v>179.90793333333332</v>
      </c>
      <c r="I1181">
        <f t="shared" si="57"/>
        <v>223.1088</v>
      </c>
    </row>
    <row r="1182" spans="1:9">
      <c r="A1182" s="3">
        <f>信用曲线—价格!A1182</f>
        <v>46287</v>
      </c>
      <c r="B1182" s="1">
        <f>[1]!i_dq_close($B$1,A1182)</f>
        <v>161.60400000000001</v>
      </c>
      <c r="C1182" s="1">
        <f>[1]!i_dq_close($C$1,A1182)</f>
        <v>181.0308</v>
      </c>
      <c r="D1182" s="1">
        <f>[1]!i_dq_close($D$1,A1182)</f>
        <v>197.1566</v>
      </c>
      <c r="E1182" s="1">
        <f>[1]!i_dq_close($E$1,A1182)</f>
        <v>207.55869999999999</v>
      </c>
      <c r="F1182" s="1">
        <f>[1]!i_dq_close($F$1,A1182)</f>
        <v>223.45349999999999</v>
      </c>
      <c r="G1182" s="1">
        <f>[1]!i_dq_close($G$1,A1182)</f>
        <v>238.9359</v>
      </c>
      <c r="H1182">
        <f t="shared" si="56"/>
        <v>179.93046666666669</v>
      </c>
      <c r="I1182">
        <f t="shared" si="57"/>
        <v>223.31603333333337</v>
      </c>
    </row>
    <row r="1183" spans="1:9">
      <c r="A1183" s="3">
        <f>信用曲线—价格!A1183</f>
        <v>46288</v>
      </c>
      <c r="B1183" s="1">
        <f>[1]!i_dq_close($B$1,A1183)</f>
        <v>161.613</v>
      </c>
      <c r="C1183" s="1">
        <f>[1]!i_dq_close($C$1,A1183)</f>
        <v>181.05199999999999</v>
      </c>
      <c r="D1183" s="1">
        <f>[1]!i_dq_close($D$1,A1183)</f>
        <v>197.20050000000001</v>
      </c>
      <c r="E1183" s="1">
        <f>[1]!i_dq_close($E$1,A1183)</f>
        <v>207.67259999999999</v>
      </c>
      <c r="F1183" s="1">
        <f>[1]!i_dq_close($F$1,A1183)</f>
        <v>223.60589999999999</v>
      </c>
      <c r="G1183" s="1">
        <f>[1]!i_dq_close($G$1,A1183)</f>
        <v>239.18629999999999</v>
      </c>
      <c r="H1183">
        <f t="shared" si="56"/>
        <v>179.95516666666666</v>
      </c>
      <c r="I1183">
        <f t="shared" si="57"/>
        <v>223.48826666666665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64" activePane="bottomRight" state="frozen"/>
      <selection pane="topRight" activeCell="B1" sqref="B1"/>
      <selection pane="bottomLeft" activeCell="A3" sqref="A3"/>
      <selection pane="bottomRight" activeCell="H1167" sqref="H1167:I1183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9" si="52">(D1168-F1168)*100</f>
        <v>35.02000000000001</v>
      </c>
      <c r="I1168">
        <f t="shared" ref="I1168:I1179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A1175" s="5">
        <v>46279</v>
      </c>
      <c r="B1175" s="6">
        <v>1.6966000000000001</v>
      </c>
      <c r="C1175" s="6">
        <v>1.7902</v>
      </c>
      <c r="D1175" s="6">
        <v>1.9683999999999999</v>
      </c>
      <c r="E1175" s="6">
        <v>2.1858</v>
      </c>
      <c r="F1175" s="6">
        <v>1.6717</v>
      </c>
      <c r="G1175" s="6">
        <v>1.7669999999999999</v>
      </c>
      <c r="H1175">
        <f t="shared" si="52"/>
        <v>29.669999999999995</v>
      </c>
      <c r="I1175">
        <f t="shared" si="53"/>
        <v>41.88000000000001</v>
      </c>
      <c r="J1175" s="6"/>
      <c r="K1175" s="6"/>
      <c r="L1175" s="6"/>
      <c r="M1175" s="6"/>
      <c r="N1175" s="6"/>
    </row>
    <row r="1176" spans="1:14">
      <c r="A1176" s="5">
        <v>46280</v>
      </c>
      <c r="B1176" s="6">
        <v>1.6939</v>
      </c>
      <c r="C1176" s="6">
        <v>1.7787999999999999</v>
      </c>
      <c r="D1176" s="6">
        <v>1.9612000000000001</v>
      </c>
      <c r="E1176" s="6">
        <v>2.1882000000000001</v>
      </c>
      <c r="F1176" s="6">
        <v>1.6697</v>
      </c>
      <c r="G1176" s="6">
        <v>1.7639</v>
      </c>
      <c r="H1176">
        <f t="shared" si="52"/>
        <v>29.150000000000009</v>
      </c>
      <c r="I1176">
        <f t="shared" si="53"/>
        <v>42.430000000000014</v>
      </c>
      <c r="J1176" s="6"/>
      <c r="K1176" s="6"/>
      <c r="L1176" s="6"/>
      <c r="M1176" s="6"/>
      <c r="N1176" s="6"/>
    </row>
    <row r="1177" spans="1:14">
      <c r="A1177" s="5">
        <v>46281</v>
      </c>
      <c r="B1177" s="6">
        <v>1.6903999999999999</v>
      </c>
      <c r="C1177" s="6">
        <v>1.7741</v>
      </c>
      <c r="D1177" s="6">
        <v>1.9633</v>
      </c>
      <c r="E1177" s="6">
        <v>2.1842000000000001</v>
      </c>
      <c r="F1177" s="6">
        <v>1.6677</v>
      </c>
      <c r="G1177" s="6">
        <v>1.7614000000000001</v>
      </c>
      <c r="H1177">
        <f t="shared" si="52"/>
        <v>29.560000000000009</v>
      </c>
      <c r="I1177">
        <f t="shared" si="53"/>
        <v>42.280000000000008</v>
      </c>
      <c r="J1177" s="6"/>
      <c r="K1177" s="6"/>
      <c r="L1177" s="6"/>
      <c r="M1177" s="6"/>
      <c r="N1177" s="6"/>
    </row>
    <row r="1178" spans="1:14">
      <c r="A1178" s="5">
        <v>46282</v>
      </c>
      <c r="B1178" s="6">
        <v>1.6828000000000001</v>
      </c>
      <c r="C1178" s="6">
        <v>1.7717000000000001</v>
      </c>
      <c r="D1178" s="6">
        <v>1.9615</v>
      </c>
      <c r="E1178" s="6">
        <v>2.1837</v>
      </c>
      <c r="F1178" s="6">
        <v>1.665</v>
      </c>
      <c r="G1178" s="6">
        <v>1.7619</v>
      </c>
      <c r="H1178">
        <f t="shared" si="52"/>
        <v>29.65</v>
      </c>
      <c r="I1178">
        <f t="shared" si="53"/>
        <v>42.179999999999993</v>
      </c>
      <c r="J1178" s="6"/>
      <c r="K1178" s="6"/>
      <c r="L1178" s="6"/>
      <c r="M1178" s="6"/>
      <c r="N1178" s="6"/>
    </row>
    <row r="1179" spans="1:14">
      <c r="A1179" s="5">
        <v>46283</v>
      </c>
      <c r="B1179" s="6">
        <v>1.679</v>
      </c>
      <c r="C1179" s="6">
        <v>1.7622</v>
      </c>
      <c r="D1179" s="6">
        <v>1.9529000000000001</v>
      </c>
      <c r="E1179" s="6">
        <v>2.1793999999999998</v>
      </c>
      <c r="F1179" s="6">
        <v>1.6587000000000001</v>
      </c>
      <c r="G1179" s="6">
        <v>1.7563</v>
      </c>
      <c r="H1179">
        <f t="shared" si="52"/>
        <v>29.42</v>
      </c>
      <c r="I1179">
        <f t="shared" si="53"/>
        <v>42.309999999999981</v>
      </c>
      <c r="J1179" s="6"/>
      <c r="K1179" s="6"/>
      <c r="L1179" s="6"/>
      <c r="M1179" s="6"/>
      <c r="N1179" s="6"/>
    </row>
    <row r="1180" spans="1:14">
      <c r="A1180" s="5">
        <v>46285</v>
      </c>
      <c r="B1180" s="6">
        <v>1.6831</v>
      </c>
      <c r="C1180" s="6">
        <v>1.7501</v>
      </c>
      <c r="D1180" s="6">
        <v>1.9444999999999999</v>
      </c>
      <c r="E1180" s="6">
        <v>2.1709999999999998</v>
      </c>
      <c r="F1180" s="6">
        <v>1.6581999999999999</v>
      </c>
      <c r="G1180" s="6">
        <v>1.7538</v>
      </c>
      <c r="H1180">
        <f t="shared" ref="H1180:H1183" si="54">(D1180-F1180)*100</f>
        <v>28.63</v>
      </c>
      <c r="I1180">
        <f t="shared" ref="I1180:I1183" si="55">(E1180-G1180)*100</f>
        <v>41.719999999999978</v>
      </c>
      <c r="J1180" s="6"/>
      <c r="K1180" s="6"/>
      <c r="L1180" s="6"/>
      <c r="M1180" s="6"/>
      <c r="N1180" s="6"/>
    </row>
    <row r="1181" spans="1:14">
      <c r="A1181" s="5">
        <v>46286</v>
      </c>
      <c r="B1181" s="6">
        <v>1.6778</v>
      </c>
      <c r="C1181" s="6">
        <v>1.7479</v>
      </c>
      <c r="D1181" s="6">
        <v>1.9218999999999999</v>
      </c>
      <c r="E1181" s="6">
        <v>2.1652999999999998</v>
      </c>
      <c r="F1181" s="6">
        <v>1.6560999999999999</v>
      </c>
      <c r="G1181" s="6">
        <v>1.756</v>
      </c>
      <c r="H1181">
        <f t="shared" si="54"/>
        <v>26.580000000000005</v>
      </c>
      <c r="I1181">
        <f t="shared" si="55"/>
        <v>40.929999999999978</v>
      </c>
      <c r="J1181" s="6"/>
      <c r="K1181" s="6"/>
      <c r="L1181" s="6"/>
      <c r="M1181" s="6"/>
      <c r="N1181" s="6"/>
    </row>
    <row r="1182" spans="1:14">
      <c r="A1182" s="5">
        <v>46287</v>
      </c>
      <c r="B1182" s="6">
        <v>1.67</v>
      </c>
      <c r="C1182" s="6">
        <v>1.7436</v>
      </c>
      <c r="D1182" s="6">
        <v>1.9167000000000001</v>
      </c>
      <c r="E1182" s="6">
        <v>2.1490999999999998</v>
      </c>
      <c r="F1182" s="6">
        <v>1.6536</v>
      </c>
      <c r="G1182" s="6">
        <v>1.752</v>
      </c>
      <c r="H1182">
        <f t="shared" si="54"/>
        <v>26.310000000000009</v>
      </c>
      <c r="I1182">
        <f t="shared" si="55"/>
        <v>39.70999999999998</v>
      </c>
      <c r="J1182" s="6"/>
      <c r="K1182" s="6"/>
      <c r="L1182" s="6"/>
      <c r="M1182" s="6"/>
      <c r="N1182" s="6"/>
    </row>
    <row r="1183" spans="1:14">
      <c r="A1183" s="5">
        <v>46288</v>
      </c>
      <c r="B1183" s="6">
        <v>1.6700999999999999</v>
      </c>
      <c r="C1183" s="6">
        <v>1.7410000000000001</v>
      </c>
      <c r="D1183" s="6">
        <v>1.9038999999999999</v>
      </c>
      <c r="E1183" s="6">
        <v>2.1404000000000001</v>
      </c>
      <c r="F1183" s="6">
        <v>1.6551</v>
      </c>
      <c r="G1183" s="6">
        <v>1.7545999999999999</v>
      </c>
      <c r="H1183">
        <f t="shared" si="54"/>
        <v>24.879999999999992</v>
      </c>
      <c r="I1183">
        <f t="shared" si="55"/>
        <v>38.580000000000013</v>
      </c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61" activePane="bottomRight" state="frozen"/>
      <selection pane="topRight" activeCell="B1" sqref="B1"/>
      <selection pane="bottomLeft" activeCell="A3" sqref="A3"/>
      <selection pane="bottomRight" activeCell="A1122" sqref="A1122:H1183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83" si="138">AVERAGE(B1120:B1161)</f>
        <v>1.2284350749777257</v>
      </c>
      <c r="D1161" s="14">
        <f t="shared" ref="D1161:D1183" si="139">(B1161/C1161-1)*100</f>
        <v>0.56171602954160349</v>
      </c>
      <c r="E1161" s="14">
        <f t="shared" ref="E1161:E1183" si="140">AVERAGE(D1141:D1161)</f>
        <v>0.44454884273680007</v>
      </c>
      <c r="F1161" s="15" t="str">
        <f t="shared" ref="F1161:F1183" si="141">IF(E1161&gt;0,"上升","下降")</f>
        <v>上升</v>
      </c>
      <c r="G1161" s="14">
        <f t="shared" ref="G1161:G1183" si="142">D1161-D1148</f>
        <v>0.21133234367454179</v>
      </c>
      <c r="H1161" s="1" t="str">
        <f t="shared" ref="H1161:H1183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>
        <f>财富指数—趋势!A1175</f>
        <v>46279</v>
      </c>
      <c r="B1175" s="12">
        <f>财富指数—趋势!I1175/财富指数—趋势!H1175</f>
        <v>1.2365830786864094</v>
      </c>
      <c r="C1175" s="12">
        <f t="shared" si="138"/>
        <v>1.2320919029812427</v>
      </c>
      <c r="D1175" s="14">
        <f t="shared" si="139"/>
        <v>0.36451629089515603</v>
      </c>
      <c r="E1175" s="14">
        <f t="shared" si="140"/>
        <v>0.48573280689621712</v>
      </c>
      <c r="F1175" s="15" t="str">
        <f t="shared" si="141"/>
        <v>上升</v>
      </c>
      <c r="G1175" s="14">
        <f t="shared" si="142"/>
        <v>-0.15491445744717502</v>
      </c>
      <c r="H1175" s="1" t="str">
        <f t="shared" si="143"/>
        <v>减弱</v>
      </c>
    </row>
    <row r="1176" spans="1:8">
      <c r="A1176" s="3">
        <f>财富指数—趋势!A1176</f>
        <v>46280</v>
      </c>
      <c r="B1176" s="12">
        <f>财富指数—趋势!I1176/财富指数—趋势!H1176</f>
        <v>1.2369439392537585</v>
      </c>
      <c r="C1176" s="12">
        <f t="shared" si="138"/>
        <v>1.2323563506854969</v>
      </c>
      <c r="D1176" s="14">
        <f t="shared" si="139"/>
        <v>0.37226152692844128</v>
      </c>
      <c r="E1176" s="14">
        <f t="shared" si="140"/>
        <v>0.47737242266529545</v>
      </c>
      <c r="F1176" s="15" t="str">
        <f t="shared" si="141"/>
        <v>上升</v>
      </c>
      <c r="G1176" s="14">
        <f t="shared" si="142"/>
        <v>-9.7585553952606041E-2</v>
      </c>
      <c r="H1176" s="1" t="str">
        <f t="shared" si="143"/>
        <v>减弱</v>
      </c>
    </row>
    <row r="1177" spans="1:8">
      <c r="A1177" s="3">
        <f>财富指数—趋势!A1177</f>
        <v>46281</v>
      </c>
      <c r="B1177" s="12">
        <f>财富指数—趋势!I1177/财富指数—趋势!H1177</f>
        <v>1.2371786208414184</v>
      </c>
      <c r="C1177" s="12">
        <f t="shared" si="138"/>
        <v>1.2326291054431526</v>
      </c>
      <c r="D1177" s="14">
        <f t="shared" si="139"/>
        <v>0.36909037586210225</v>
      </c>
      <c r="E1177" s="14">
        <f t="shared" si="140"/>
        <v>0.46475630042390859</v>
      </c>
      <c r="F1177" s="15" t="str">
        <f t="shared" si="141"/>
        <v>上升</v>
      </c>
      <c r="G1177" s="14">
        <f t="shared" si="142"/>
        <v>-7.9737527119916329E-2</v>
      </c>
      <c r="H1177" s="1" t="str">
        <f t="shared" si="143"/>
        <v>减弱</v>
      </c>
    </row>
    <row r="1178" spans="1:8">
      <c r="A1178" s="3">
        <f>财富指数—趋势!A1178</f>
        <v>46282</v>
      </c>
      <c r="B1178" s="12">
        <f>财富指数—趋势!I1178/财富指数—趋势!H1178</f>
        <v>1.2377934890204612</v>
      </c>
      <c r="C1178" s="12">
        <f t="shared" si="138"/>
        <v>1.2329074256564159</v>
      </c>
      <c r="D1178" s="14">
        <f t="shared" si="139"/>
        <v>0.39630415571905164</v>
      </c>
      <c r="E1178" s="14">
        <f t="shared" si="140"/>
        <v>0.4522248440891542</v>
      </c>
      <c r="F1178" s="15" t="str">
        <f t="shared" si="141"/>
        <v>上升</v>
      </c>
      <c r="G1178" s="14">
        <f t="shared" si="142"/>
        <v>-6.6109330866548355E-2</v>
      </c>
      <c r="H1178" s="1" t="str">
        <f t="shared" si="143"/>
        <v>减弱</v>
      </c>
    </row>
    <row r="1179" spans="1:8">
      <c r="A1179" s="3">
        <f>财富指数—趋势!A1179</f>
        <v>46283</v>
      </c>
      <c r="B1179" s="12">
        <f>财富指数—趋势!I1179/财富指数—趋势!H1179</f>
        <v>1.2385250961944954</v>
      </c>
      <c r="C1179" s="12">
        <f t="shared" si="138"/>
        <v>1.2331902826426036</v>
      </c>
      <c r="D1179" s="14">
        <f t="shared" si="139"/>
        <v>0.4326026264543481</v>
      </c>
      <c r="E1179" s="14">
        <f t="shared" si="140"/>
        <v>0.44407203346305785</v>
      </c>
      <c r="F1179" s="15" t="str">
        <f t="shared" si="141"/>
        <v>上升</v>
      </c>
      <c r="G1179" s="14">
        <f t="shared" si="142"/>
        <v>-9.335427650114525E-3</v>
      </c>
      <c r="H1179" s="1" t="str">
        <f t="shared" si="143"/>
        <v>减弱</v>
      </c>
    </row>
    <row r="1180" spans="1:8">
      <c r="A1180" s="3">
        <f>财富指数—趋势!A1180</f>
        <v>46285</v>
      </c>
      <c r="B1180" s="12">
        <f>财富指数—趋势!I1180/财富指数—趋势!H1180</f>
        <v>1.239416352730857</v>
      </c>
      <c r="C1180" s="12">
        <f t="shared" si="138"/>
        <v>1.2334818782198784</v>
      </c>
      <c r="D1180" s="14">
        <f t="shared" si="139"/>
        <v>0.48111566256190397</v>
      </c>
      <c r="E1180" s="14">
        <f t="shared" si="140"/>
        <v>0.4413096581583536</v>
      </c>
      <c r="F1180" s="15" t="str">
        <f t="shared" si="141"/>
        <v>上升</v>
      </c>
      <c r="G1180" s="14">
        <f t="shared" si="142"/>
        <v>5.9110415358909485E-2</v>
      </c>
      <c r="H1180" s="1" t="str">
        <f t="shared" si="143"/>
        <v>领先</v>
      </c>
    </row>
    <row r="1181" spans="1:8">
      <c r="A1181" s="3">
        <f>财富指数—趋势!A1181</f>
        <v>46286</v>
      </c>
      <c r="B1181" s="12">
        <f>财富指数—趋势!I1181/财富指数—趋势!H1181</f>
        <v>1.2401276356536437</v>
      </c>
      <c r="C1181" s="12">
        <f t="shared" si="138"/>
        <v>1.2337827923849776</v>
      </c>
      <c r="D1181" s="14">
        <f t="shared" si="139"/>
        <v>0.51425934190580946</v>
      </c>
      <c r="E1181" s="14">
        <f t="shared" si="140"/>
        <v>0.43896136912581796</v>
      </c>
      <c r="F1181" s="15" t="str">
        <f t="shared" si="141"/>
        <v>上升</v>
      </c>
      <c r="G1181" s="14">
        <f t="shared" si="142"/>
        <v>6.9175372689911363E-2</v>
      </c>
      <c r="H1181" s="1" t="str">
        <f t="shared" si="143"/>
        <v>领先</v>
      </c>
    </row>
    <row r="1182" spans="1:8">
      <c r="A1182" s="3">
        <f>财富指数—趋势!A1182</f>
        <v>46287</v>
      </c>
      <c r="B1182" s="12">
        <f>财富指数—趋势!I1182/财富指数—趋势!H1182</f>
        <v>1.2411240712616023</v>
      </c>
      <c r="C1182" s="12">
        <f t="shared" si="138"/>
        <v>1.2341012978714108</v>
      </c>
      <c r="D1182" s="14">
        <f t="shared" si="139"/>
        <v>0.56905972000065308</v>
      </c>
      <c r="E1182" s="14">
        <f t="shared" si="140"/>
        <v>0.43931106867148695</v>
      </c>
      <c r="F1182" s="15" t="str">
        <f t="shared" si="141"/>
        <v>上升</v>
      </c>
      <c r="G1182" s="14">
        <f t="shared" si="142"/>
        <v>0.12824439825638301</v>
      </c>
      <c r="H1182" s="1" t="str">
        <f t="shared" si="143"/>
        <v>领先</v>
      </c>
    </row>
    <row r="1183" spans="1:8">
      <c r="A1183" s="3">
        <f>财富指数—趋势!A1183</f>
        <v>46288</v>
      </c>
      <c r="B1183" s="12">
        <f>财富指数—趋势!I1183/财富指数—趋势!H1183</f>
        <v>1.241910809266382</v>
      </c>
      <c r="C1183" s="12">
        <f t="shared" si="138"/>
        <v>1.2344295560802345</v>
      </c>
      <c r="D1183" s="14">
        <f t="shared" si="139"/>
        <v>0.60604942171857967</v>
      </c>
      <c r="E1183" s="14">
        <f t="shared" si="140"/>
        <v>0.44343576740368917</v>
      </c>
      <c r="F1183" s="15" t="str">
        <f t="shared" si="141"/>
        <v>上升</v>
      </c>
      <c r="G1183" s="14">
        <f t="shared" si="142"/>
        <v>0.16370392181102034</v>
      </c>
      <c r="H1183" s="1" t="str">
        <f t="shared" si="143"/>
        <v>领先</v>
      </c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84"/>
  <sheetViews>
    <sheetView workbookViewId="0">
      <pane xSplit="1" ySplit="3" topLeftCell="I1169" activePane="bottomRight" state="frozen"/>
      <selection pane="topRight" activeCell="B1" sqref="B1"/>
      <selection pane="bottomLeft" activeCell="A4" sqref="A4"/>
      <selection pane="bottomRight" activeCell="A1158" sqref="A1158:R1184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84" si="301">AVERAGE(B1101:B1160)</f>
        <v>2.0772166666666667</v>
      </c>
      <c r="D1160" s="14">
        <f t="shared" ref="D1160:D1184" si="302">STDEV(B1101:B1160)</f>
        <v>2.3951824293895654E-2</v>
      </c>
      <c r="E1160" s="14">
        <f t="shared" ref="E1160:E1184" si="303">C1160+2*D1160</f>
        <v>2.125120315254458</v>
      </c>
      <c r="F1160" s="14">
        <f t="shared" ref="F1160:F1184" si="304">C1160-2*D1160</f>
        <v>2.0293130180788754</v>
      </c>
      <c r="G1160" s="17">
        <f t="shared" ref="G1160:G1184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84" si="306">AVERAGE(H1101:H1160)</f>
        <v>40.127833333333328</v>
      </c>
      <c r="J1160" s="17">
        <f t="shared" ref="J1160:J1184" si="307">STDEV(H1101:H1160)</f>
        <v>1.6091929671887493</v>
      </c>
      <c r="K1160" s="17">
        <f t="shared" ref="K1160:K1184" si="308">I1160+2*J1160</f>
        <v>43.346219267710829</v>
      </c>
      <c r="L1160" s="17">
        <f t="shared" ref="L1160:L1184" si="309">I1160-2*J1160</f>
        <v>36.909447398955827</v>
      </c>
      <c r="M1160" s="17">
        <f t="shared" ref="M1160:M1184" si="310">IF(AND(K1160&lt;&gt;L1160,NOT(ISBLANK(H1160))),100*(H1160-L1160)/(K1160-L1160),"")</f>
        <v>17.874683529318787</v>
      </c>
      <c r="N1160" s="17">
        <f t="shared" ref="N1160:N1184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84" si="312">AVERAGE(O1160:P1160)</f>
        <v>8.249999999999999E-2</v>
      </c>
      <c r="R1160" s="1" t="str">
        <f t="shared" ref="R1160:R1184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>
        <f>信用曲线—价格!A1175</f>
        <v>46279</v>
      </c>
      <c r="B1176" s="14">
        <f>信用曲线—价格!D1175</f>
        <v>1.9683999999999999</v>
      </c>
      <c r="C1176" s="14">
        <f t="shared" si="301"/>
        <v>2.0515716666666663</v>
      </c>
      <c r="D1176" s="14">
        <f t="shared" si="302"/>
        <v>4.0661784380909179E-2</v>
      </c>
      <c r="E1176" s="14">
        <f t="shared" si="303"/>
        <v>2.1328952354284847</v>
      </c>
      <c r="F1176" s="14">
        <f t="shared" si="304"/>
        <v>1.970248097904848</v>
      </c>
      <c r="G1176" s="17">
        <f t="shared" si="305"/>
        <v>-1.1362621765043381</v>
      </c>
      <c r="H1176" s="17">
        <f>信用曲线—价格!H1175</f>
        <v>29.669999999999995</v>
      </c>
      <c r="I1176" s="17">
        <f t="shared" si="306"/>
        <v>38.473499999999987</v>
      </c>
      <c r="J1176" s="17">
        <f t="shared" si="307"/>
        <v>3.7039034951919216</v>
      </c>
      <c r="K1176" s="17">
        <f t="shared" si="308"/>
        <v>45.881306990383834</v>
      </c>
      <c r="L1176" s="17">
        <f t="shared" si="309"/>
        <v>31.065693009616144</v>
      </c>
      <c r="M1176" s="17">
        <f t="shared" si="310"/>
        <v>-9.4204196426007982</v>
      </c>
      <c r="N1176" s="17">
        <f t="shared" si="311"/>
        <v>-5.2783409095525684</v>
      </c>
      <c r="O1176" s="18">
        <f>IFERROR(_xlfn.PERCENTRANK.EXC(INDEX(B:B, MAX(4, ROW()-251)):INDEX(B:B, ROW()), B1176), "")</f>
        <v>1.0999999999999999E-2</v>
      </c>
      <c r="P1176" s="18">
        <f>IFERROR(_xlfn.PERCENTRANK.EXC(INDEX(H:H, MAX(4, ROW()-251)):INDEX(H:H, ROW()), H1176), "")</f>
        <v>1.0999999999999999E-2</v>
      </c>
      <c r="Q1176">
        <f t="shared" si="312"/>
        <v>1.0999999999999999E-2</v>
      </c>
      <c r="R1176" s="1" t="str">
        <f t="shared" si="313"/>
        <v>贵</v>
      </c>
    </row>
    <row r="1177" spans="1:18">
      <c r="A1177" s="3">
        <f>信用曲线—价格!A1176</f>
        <v>46280</v>
      </c>
      <c r="B1177" s="14">
        <f>信用曲线—价格!D1176</f>
        <v>1.9612000000000001</v>
      </c>
      <c r="C1177" s="14">
        <f t="shared" si="301"/>
        <v>2.0491366666666662</v>
      </c>
      <c r="D1177" s="14">
        <f t="shared" si="302"/>
        <v>4.1630965360367984E-2</v>
      </c>
      <c r="E1177" s="14">
        <f t="shared" si="303"/>
        <v>2.132398597387402</v>
      </c>
      <c r="F1177" s="14">
        <f t="shared" si="304"/>
        <v>1.9658747359459301</v>
      </c>
      <c r="G1177" s="17">
        <f t="shared" si="305"/>
        <v>-2.807246904716457</v>
      </c>
      <c r="H1177" s="17">
        <f>信用曲线—价格!H1176</f>
        <v>29.150000000000009</v>
      </c>
      <c r="I1177" s="17">
        <f t="shared" si="306"/>
        <v>38.276833333333329</v>
      </c>
      <c r="J1177" s="17">
        <f t="shared" si="307"/>
        <v>3.8792999069885785</v>
      </c>
      <c r="K1177" s="17">
        <f t="shared" si="308"/>
        <v>46.035433147310485</v>
      </c>
      <c r="L1177" s="17">
        <f t="shared" si="309"/>
        <v>30.518233519356173</v>
      </c>
      <c r="M1177" s="17">
        <f t="shared" si="310"/>
        <v>-8.8175286273386853</v>
      </c>
      <c r="N1177" s="17">
        <f t="shared" si="311"/>
        <v>-5.8123877660275713</v>
      </c>
      <c r="O1177" s="18">
        <f>IFERROR(_xlfn.PERCENTRANK.EXC(INDEX(B:B, MAX(4, ROW()-251)):INDEX(B:B, ROW()), B1177), "")</f>
        <v>7.0000000000000001E-3</v>
      </c>
      <c r="P1177" s="18">
        <f>IFERROR(_xlfn.PERCENTRANK.EXC(INDEX(H:H, MAX(4, ROW()-251)):INDEX(H:H, ROW()), H1177), "")</f>
        <v>3.0000000000000001E-3</v>
      </c>
      <c r="Q1177">
        <f t="shared" si="312"/>
        <v>5.0000000000000001E-3</v>
      </c>
      <c r="R1177" s="1" t="str">
        <f t="shared" si="313"/>
        <v>贵</v>
      </c>
    </row>
    <row r="1178" spans="1:18">
      <c r="A1178" s="3">
        <f>信用曲线—价格!A1177</f>
        <v>46281</v>
      </c>
      <c r="B1178" s="14">
        <f>信用曲线—价格!D1177</f>
        <v>1.9633</v>
      </c>
      <c r="C1178" s="14">
        <f t="shared" si="301"/>
        <v>2.046653333333333</v>
      </c>
      <c r="D1178" s="14">
        <f t="shared" si="302"/>
        <v>4.2238910756799891E-2</v>
      </c>
      <c r="E1178" s="14">
        <f t="shared" si="303"/>
        <v>2.1311311548469329</v>
      </c>
      <c r="F1178" s="14">
        <f t="shared" si="304"/>
        <v>1.9621755118197333</v>
      </c>
      <c r="G1178" s="17">
        <f t="shared" si="305"/>
        <v>0.66555230717316294</v>
      </c>
      <c r="H1178" s="17">
        <f>信用曲线—价格!H1177</f>
        <v>29.560000000000009</v>
      </c>
      <c r="I1178" s="17">
        <f t="shared" si="306"/>
        <v>38.076666666666668</v>
      </c>
      <c r="J1178" s="17">
        <f t="shared" si="307"/>
        <v>4.0140079580148065</v>
      </c>
      <c r="K1178" s="17">
        <f t="shared" si="308"/>
        <v>46.104682582696284</v>
      </c>
      <c r="L1178" s="17">
        <f t="shared" si="309"/>
        <v>30.048650750637055</v>
      </c>
      <c r="M1178" s="17">
        <f t="shared" si="310"/>
        <v>-3.043409204392284</v>
      </c>
      <c r="N1178" s="17">
        <f t="shared" si="311"/>
        <v>-1.1889284486095606</v>
      </c>
      <c r="O1178" s="18">
        <f>IFERROR(_xlfn.PERCENTRANK.EXC(INDEX(B:B, MAX(4, ROW()-251)):INDEX(B:B, ROW()), B1178), "")</f>
        <v>1.0999999999999999E-2</v>
      </c>
      <c r="P1178" s="18">
        <f>IFERROR(_xlfn.PERCENTRANK.EXC(INDEX(H:H, MAX(4, ROW()-251)):INDEX(H:H, ROW()), H1178), "")</f>
        <v>1.4999999999999999E-2</v>
      </c>
      <c r="Q1178">
        <f t="shared" si="312"/>
        <v>1.2999999999999999E-2</v>
      </c>
      <c r="R1178" s="1" t="str">
        <f t="shared" si="313"/>
        <v>贵</v>
      </c>
    </row>
    <row r="1179" spans="1:18">
      <c r="A1179" s="3">
        <f>信用曲线—价格!A1178</f>
        <v>46282</v>
      </c>
      <c r="B1179" s="14">
        <f>信用曲线—价格!D1178</f>
        <v>1.9615</v>
      </c>
      <c r="C1179" s="14">
        <f t="shared" si="301"/>
        <v>2.0441949999999998</v>
      </c>
      <c r="D1179" s="14">
        <f t="shared" si="302"/>
        <v>4.2836858139390185E-2</v>
      </c>
      <c r="E1179" s="14">
        <f t="shared" si="303"/>
        <v>2.1298687162787799</v>
      </c>
      <c r="F1179" s="14">
        <f t="shared" si="304"/>
        <v>1.9585212837212194</v>
      </c>
      <c r="G1179" s="17">
        <f t="shared" si="305"/>
        <v>1.7384073016559618</v>
      </c>
      <c r="H1179" s="17">
        <f>信用曲线—价格!H1178</f>
        <v>29.65</v>
      </c>
      <c r="I1179" s="17">
        <f t="shared" si="306"/>
        <v>37.858499999999999</v>
      </c>
      <c r="J1179" s="17">
        <f t="shared" si="307"/>
        <v>4.110815756810501</v>
      </c>
      <c r="K1179" s="17">
        <f t="shared" si="308"/>
        <v>46.080131513620998</v>
      </c>
      <c r="L1179" s="17">
        <f t="shared" si="309"/>
        <v>29.636868486378997</v>
      </c>
      <c r="M1179" s="17">
        <f t="shared" si="310"/>
        <v>7.9859536390349983E-2</v>
      </c>
      <c r="N1179" s="17">
        <f t="shared" si="311"/>
        <v>0.90913341902315592</v>
      </c>
      <c r="O1179" s="18">
        <f>IFERROR(_xlfn.PERCENTRANK.EXC(INDEX(B:B, MAX(4, ROW()-251)):INDEX(B:B, ROW()), B1179), "")</f>
        <v>1.0999999999999999E-2</v>
      </c>
      <c r="P1179" s="18">
        <f>IFERROR(_xlfn.PERCENTRANK.EXC(INDEX(H:H, MAX(4, ROW()-251)):INDEX(H:H, ROW()), H1179), "")</f>
        <v>1.9E-2</v>
      </c>
      <c r="Q1179">
        <f t="shared" si="312"/>
        <v>1.4999999999999999E-2</v>
      </c>
      <c r="R1179" s="1" t="str">
        <f t="shared" si="313"/>
        <v>贵</v>
      </c>
    </row>
    <row r="1180" spans="1:18">
      <c r="A1180" s="3">
        <f>信用曲线—价格!A1179</f>
        <v>46283</v>
      </c>
      <c r="B1180" s="14">
        <f>信用曲线—价格!D1179</f>
        <v>1.9529000000000001</v>
      </c>
      <c r="C1180" s="14">
        <f t="shared" si="301"/>
        <v>2.0416266666666663</v>
      </c>
      <c r="D1180" s="14">
        <f t="shared" si="302"/>
        <v>4.361995293194746E-2</v>
      </c>
      <c r="E1180" s="14">
        <f t="shared" si="303"/>
        <v>2.1288665725305611</v>
      </c>
      <c r="F1180" s="14">
        <f t="shared" si="304"/>
        <v>1.9543867608027714</v>
      </c>
      <c r="G1180" s="17">
        <f t="shared" si="305"/>
        <v>-0.85211050381625686</v>
      </c>
      <c r="H1180" s="17">
        <f>信用曲线—价格!H1179</f>
        <v>29.42</v>
      </c>
      <c r="I1180" s="17">
        <f t="shared" si="306"/>
        <v>37.638999999999996</v>
      </c>
      <c r="J1180" s="17">
        <f t="shared" si="307"/>
        <v>4.204436599432178</v>
      </c>
      <c r="K1180" s="17">
        <f t="shared" si="308"/>
        <v>46.047873198864352</v>
      </c>
      <c r="L1180" s="17">
        <f t="shared" si="309"/>
        <v>29.23012680113564</v>
      </c>
      <c r="M1180" s="17">
        <f t="shared" si="310"/>
        <v>1.1290050068183022</v>
      </c>
      <c r="N1180" s="17">
        <f t="shared" si="311"/>
        <v>0.13844725150102266</v>
      </c>
      <c r="O1180" s="18">
        <f>IFERROR(_xlfn.PERCENTRANK.EXC(INDEX(B:B, MAX(4, ROW()-251)):INDEX(B:B, ROW()), B1180), "")</f>
        <v>3.0000000000000001E-3</v>
      </c>
      <c r="P1180" s="18">
        <f>IFERROR(_xlfn.PERCENTRANK.EXC(INDEX(H:H, MAX(4, ROW()-251)):INDEX(H:H, ROW()), H1180), "")</f>
        <v>1.4999999999999999E-2</v>
      </c>
      <c r="Q1180">
        <f t="shared" si="312"/>
        <v>8.9999999999999993E-3</v>
      </c>
      <c r="R1180" s="1" t="str">
        <f t="shared" si="313"/>
        <v>贵</v>
      </c>
    </row>
    <row r="1181" spans="1:18">
      <c r="A1181" s="3">
        <f>信用曲线—价格!A1180</f>
        <v>46285</v>
      </c>
      <c r="B1181" s="14">
        <f>信用曲线—价格!D1180</f>
        <v>1.9444999999999999</v>
      </c>
      <c r="C1181" s="14">
        <f t="shared" si="301"/>
        <v>2.0390599999999997</v>
      </c>
      <c r="D1181" s="14">
        <f t="shared" si="302"/>
        <v>4.4733308410578501E-2</v>
      </c>
      <c r="E1181" s="14">
        <f t="shared" si="303"/>
        <v>2.1285266168211567</v>
      </c>
      <c r="F1181" s="14">
        <f t="shared" si="304"/>
        <v>1.9495933831788426</v>
      </c>
      <c r="G1181" s="17">
        <f t="shared" si="305"/>
        <v>-2.8465272074746575</v>
      </c>
      <c r="H1181" s="17">
        <f>信用曲线—价格!H1180</f>
        <v>28.63</v>
      </c>
      <c r="I1181" s="17">
        <f t="shared" si="306"/>
        <v>37.388833333333331</v>
      </c>
      <c r="J1181" s="17">
        <f t="shared" si="307"/>
        <v>4.2870617695362885</v>
      </c>
      <c r="K1181" s="17">
        <f t="shared" si="308"/>
        <v>45.962956872405911</v>
      </c>
      <c r="L1181" s="17">
        <f t="shared" si="309"/>
        <v>28.814709794260754</v>
      </c>
      <c r="M1181" s="17">
        <f t="shared" si="310"/>
        <v>-1.077135134681847</v>
      </c>
      <c r="N1181" s="17">
        <f t="shared" si="311"/>
        <v>-1.9618311710782521</v>
      </c>
      <c r="O1181" s="18">
        <f>IFERROR(_xlfn.PERCENTRANK.EXC(INDEX(B:B, MAX(4, ROW()-251)):INDEX(B:B, ROW()), B1181), "")</f>
        <v>3.0000000000000001E-3</v>
      </c>
      <c r="P1181" s="18">
        <f>IFERROR(_xlfn.PERCENTRANK.EXC(INDEX(H:H, MAX(4, ROW()-251)):INDEX(H:H, ROW()), H1181), "")</f>
        <v>3.0000000000000001E-3</v>
      </c>
      <c r="Q1181">
        <f t="shared" si="312"/>
        <v>3.0000000000000001E-3</v>
      </c>
      <c r="R1181" s="1" t="str">
        <f t="shared" si="313"/>
        <v>贵</v>
      </c>
    </row>
    <row r="1182" spans="1:18">
      <c r="A1182" s="3">
        <f>信用曲线—价格!A1181</f>
        <v>46286</v>
      </c>
      <c r="B1182" s="14">
        <f>信用曲线—价格!D1181</f>
        <v>1.9218999999999999</v>
      </c>
      <c r="C1182" s="14">
        <f t="shared" si="301"/>
        <v>2.0361833333333328</v>
      </c>
      <c r="D1182" s="14">
        <f t="shared" si="302"/>
        <v>4.6617706560616576E-2</v>
      </c>
      <c r="E1182" s="14">
        <f t="shared" si="303"/>
        <v>2.129418746454566</v>
      </c>
      <c r="F1182" s="14">
        <f t="shared" si="304"/>
        <v>1.9429479202120996</v>
      </c>
      <c r="G1182" s="17">
        <f t="shared" si="305"/>
        <v>-11.287513782306753</v>
      </c>
      <c r="H1182" s="17">
        <f>信用曲线—价格!H1181</f>
        <v>26.580000000000005</v>
      </c>
      <c r="I1182" s="17">
        <f t="shared" si="306"/>
        <v>37.131999999999998</v>
      </c>
      <c r="J1182" s="17">
        <f t="shared" si="307"/>
        <v>4.4646585080183003</v>
      </c>
      <c r="K1182" s="17">
        <f t="shared" si="308"/>
        <v>46.061317016036597</v>
      </c>
      <c r="L1182" s="17">
        <f t="shared" si="309"/>
        <v>28.202682983963399</v>
      </c>
      <c r="M1182" s="17">
        <f t="shared" si="310"/>
        <v>-9.0862659543229203</v>
      </c>
      <c r="N1182" s="17">
        <f t="shared" si="311"/>
        <v>-10.186889868314836</v>
      </c>
      <c r="O1182" s="18">
        <f>IFERROR(_xlfn.PERCENTRANK.EXC(INDEX(B:B, MAX(4, ROW()-251)):INDEX(B:B, ROW()), B1182), "")</f>
        <v>3.0000000000000001E-3</v>
      </c>
      <c r="P1182" s="18">
        <f>IFERROR(_xlfn.PERCENTRANK.EXC(INDEX(H:H, MAX(4, ROW()-251)):INDEX(H:H, ROW()), H1182), "")</f>
        <v>3.0000000000000001E-3</v>
      </c>
      <c r="Q1182">
        <f t="shared" si="312"/>
        <v>3.0000000000000001E-3</v>
      </c>
      <c r="R1182" s="1" t="str">
        <f t="shared" si="313"/>
        <v>贵</v>
      </c>
    </row>
    <row r="1183" spans="1:18">
      <c r="A1183" s="3">
        <f>信用曲线—价格!A1182</f>
        <v>46287</v>
      </c>
      <c r="B1183" s="14">
        <f>信用曲线—价格!D1182</f>
        <v>1.9167000000000001</v>
      </c>
      <c r="C1183" s="14">
        <f t="shared" si="301"/>
        <v>2.033128333333333</v>
      </c>
      <c r="D1183" s="14">
        <f t="shared" si="302"/>
        <v>4.8339046545251139E-2</v>
      </c>
      <c r="E1183" s="14">
        <f t="shared" si="303"/>
        <v>2.1298064264238352</v>
      </c>
      <c r="F1183" s="14">
        <f t="shared" si="304"/>
        <v>1.9364502402428307</v>
      </c>
      <c r="G1183" s="17">
        <f t="shared" si="305"/>
        <v>-10.214434114014894</v>
      </c>
      <c r="H1183" s="17">
        <f>信用曲线—价格!H1182</f>
        <v>26.310000000000009</v>
      </c>
      <c r="I1183" s="17">
        <f t="shared" si="306"/>
        <v>36.886499999999998</v>
      </c>
      <c r="J1183" s="17">
        <f t="shared" si="307"/>
        <v>4.6473691573562084</v>
      </c>
      <c r="K1183" s="17">
        <f t="shared" si="308"/>
        <v>46.181238314712417</v>
      </c>
      <c r="L1183" s="17">
        <f t="shared" si="309"/>
        <v>27.59176168528758</v>
      </c>
      <c r="M1183" s="17">
        <f t="shared" si="310"/>
        <v>-6.8950929111081072</v>
      </c>
      <c r="N1183" s="17">
        <f t="shared" si="311"/>
        <v>-8.5547635125615002</v>
      </c>
      <c r="O1183" s="18">
        <f>IFERROR(_xlfn.PERCENTRANK.EXC(INDEX(B:B, MAX(4, ROW()-251)):INDEX(B:B, ROW()), B1183), "")</f>
        <v>3.0000000000000001E-3</v>
      </c>
      <c r="P1183" s="18">
        <f>IFERROR(_xlfn.PERCENTRANK.EXC(INDEX(H:H, MAX(4, ROW()-251)):INDEX(H:H, ROW()), H1183), "")</f>
        <v>3.0000000000000001E-3</v>
      </c>
      <c r="Q1183">
        <f t="shared" si="312"/>
        <v>3.0000000000000001E-3</v>
      </c>
      <c r="R1183" s="1" t="str">
        <f t="shared" si="313"/>
        <v>贵</v>
      </c>
    </row>
    <row r="1184" spans="1:18">
      <c r="A1184" s="3">
        <f>信用曲线—价格!A1183</f>
        <v>46288</v>
      </c>
      <c r="B1184" s="14">
        <f>信用曲线—价格!D1183</f>
        <v>1.9038999999999999</v>
      </c>
      <c r="C1184" s="14">
        <f t="shared" si="301"/>
        <v>2.0298416666666665</v>
      </c>
      <c r="D1184" s="14">
        <f t="shared" si="302"/>
        <v>5.0303287932660624E-2</v>
      </c>
      <c r="E1184" s="14">
        <f t="shared" si="303"/>
        <v>2.1304482425319877</v>
      </c>
      <c r="F1184" s="14">
        <f t="shared" si="304"/>
        <v>1.9292350908013454</v>
      </c>
      <c r="G1184" s="17">
        <f t="shared" si="305"/>
        <v>-12.591170399865669</v>
      </c>
      <c r="H1184" s="17">
        <f>信用曲线—价格!H1183</f>
        <v>24.879999999999992</v>
      </c>
      <c r="I1184" s="17">
        <f t="shared" si="306"/>
        <v>36.603666666666669</v>
      </c>
      <c r="J1184" s="17">
        <f t="shared" si="307"/>
        <v>4.8520559914981218</v>
      </c>
      <c r="K1184" s="17">
        <f t="shared" si="308"/>
        <v>46.307778649662914</v>
      </c>
      <c r="L1184" s="17">
        <f t="shared" si="309"/>
        <v>26.899554683670424</v>
      </c>
      <c r="M1184" s="17">
        <f t="shared" si="310"/>
        <v>-10.40566456368774</v>
      </c>
      <c r="N1184" s="17">
        <f t="shared" si="311"/>
        <v>-11.498417481776706</v>
      </c>
      <c r="O1184" s="18">
        <f>IFERROR(_xlfn.PERCENTRANK.EXC(INDEX(B:B, MAX(4, ROW()-251)):INDEX(B:B, ROW()), B1184), "")</f>
        <v>3.0000000000000001E-3</v>
      </c>
      <c r="P1184" s="18">
        <f>IFERROR(_xlfn.PERCENTRANK.EXC(INDEX(H:H, MAX(4, ROW()-251)):INDEX(H:H, ROW()), H1184), "")</f>
        <v>3.0000000000000001E-3</v>
      </c>
      <c r="Q1184">
        <f t="shared" si="312"/>
        <v>3.0000000000000001E-3</v>
      </c>
      <c r="R1184" s="1" t="str">
        <f t="shared" si="313"/>
        <v>贵</v>
      </c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84"/>
  <sheetViews>
    <sheetView tabSelected="1" workbookViewId="0">
      <pane xSplit="1" ySplit="3" topLeftCell="B1161" activePane="bottomRight" state="frozen"/>
      <selection pane="topRight" activeCell="B1" sqref="B1"/>
      <selection pane="bottomLeft" activeCell="A4" sqref="A4"/>
      <selection pane="bottomRight" activeCell="F1169" sqref="F1169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  <row r="1176" spans="1:12">
      <c r="A1176" s="21">
        <f>RRG趋势计算!A1175</f>
        <v>46279</v>
      </c>
      <c r="B1176" s="1" t="str">
        <f>RRG趋势计算!H1175</f>
        <v>减弱</v>
      </c>
      <c r="C1176" s="1" t="str">
        <f>价格指标计算!R1176</f>
        <v>贵</v>
      </c>
      <c r="D1176" s="1" t="str">
        <f>RRG趋势计算!F1175</f>
        <v>上升</v>
      </c>
      <c r="E1176" s="1" t="str">
        <f t="shared" ref="E1176:E1184" si="74">IF(OR(B1176="",C1176="",D1176=""),"",IF(D1176="上升","持仓",IF(AND(B1176="减弱",C1176="贵"),"空仓",IF(AND(B1176="减弱",C1176="中性"),"空仓",IF(AND(B1176="改善",C1176="贵"),"空仓",IF(B1176="滞后","空仓","持仓"))))))</f>
        <v>持仓</v>
      </c>
      <c r="I1176" s="1">
        <f>价格指标计算!B1176</f>
        <v>1.9683999999999999</v>
      </c>
      <c r="J1176" s="1">
        <f>价格指标计算!Q1176</f>
        <v>1.0999999999999999E-2</v>
      </c>
      <c r="K1176" s="1">
        <f>RRG趋势计算!D1175</f>
        <v>0.36451629089515603</v>
      </c>
      <c r="L1176" s="1">
        <f>RRG趋势计算!G1175</f>
        <v>-0.15491445744717502</v>
      </c>
    </row>
    <row r="1177" spans="1:12">
      <c r="A1177" s="21">
        <f>RRG趋势计算!A1176</f>
        <v>46280</v>
      </c>
      <c r="B1177" s="1" t="str">
        <f>RRG趋势计算!H1176</f>
        <v>减弱</v>
      </c>
      <c r="C1177" s="1" t="str">
        <f>价格指标计算!R1177</f>
        <v>贵</v>
      </c>
      <c r="D1177" s="1" t="str">
        <f>RRG趋势计算!F1176</f>
        <v>上升</v>
      </c>
      <c r="E1177" s="1" t="str">
        <f t="shared" si="74"/>
        <v>持仓</v>
      </c>
      <c r="I1177" s="1">
        <f>价格指标计算!B1177</f>
        <v>1.9612000000000001</v>
      </c>
      <c r="J1177" s="1">
        <f>价格指标计算!Q1177</f>
        <v>5.0000000000000001E-3</v>
      </c>
      <c r="K1177" s="1">
        <f>RRG趋势计算!D1176</f>
        <v>0.37226152692844128</v>
      </c>
      <c r="L1177" s="1">
        <f>RRG趋势计算!G1176</f>
        <v>-9.7585553952606041E-2</v>
      </c>
    </row>
    <row r="1178" spans="1:12">
      <c r="A1178" s="21">
        <f>RRG趋势计算!A1177</f>
        <v>46281</v>
      </c>
      <c r="B1178" s="1" t="str">
        <f>RRG趋势计算!H1177</f>
        <v>减弱</v>
      </c>
      <c r="C1178" s="1" t="str">
        <f>价格指标计算!R1178</f>
        <v>贵</v>
      </c>
      <c r="D1178" s="1" t="str">
        <f>RRG趋势计算!F1177</f>
        <v>上升</v>
      </c>
      <c r="E1178" s="1" t="str">
        <f t="shared" si="74"/>
        <v>持仓</v>
      </c>
      <c r="I1178" s="1">
        <f>价格指标计算!B1178</f>
        <v>1.9633</v>
      </c>
      <c r="J1178" s="1">
        <f>价格指标计算!Q1178</f>
        <v>1.2999999999999999E-2</v>
      </c>
      <c r="K1178" s="1">
        <f>RRG趋势计算!D1177</f>
        <v>0.36909037586210225</v>
      </c>
      <c r="L1178" s="1">
        <f>RRG趋势计算!G1177</f>
        <v>-7.9737527119916329E-2</v>
      </c>
    </row>
    <row r="1179" spans="1:12">
      <c r="A1179" s="21">
        <f>RRG趋势计算!A1178</f>
        <v>46282</v>
      </c>
      <c r="B1179" s="1" t="str">
        <f>RRG趋势计算!H1178</f>
        <v>减弱</v>
      </c>
      <c r="C1179" s="1" t="str">
        <f>价格指标计算!R1179</f>
        <v>贵</v>
      </c>
      <c r="D1179" s="1" t="str">
        <f>RRG趋势计算!F1178</f>
        <v>上升</v>
      </c>
      <c r="E1179" s="1" t="str">
        <f t="shared" si="74"/>
        <v>持仓</v>
      </c>
      <c r="I1179" s="1">
        <f>价格指标计算!B1179</f>
        <v>1.9615</v>
      </c>
      <c r="J1179" s="1">
        <f>价格指标计算!Q1179</f>
        <v>1.4999999999999999E-2</v>
      </c>
      <c r="K1179" s="1">
        <f>RRG趋势计算!D1178</f>
        <v>0.39630415571905164</v>
      </c>
      <c r="L1179" s="1">
        <f>RRG趋势计算!G1178</f>
        <v>-6.6109330866548355E-2</v>
      </c>
    </row>
    <row r="1180" spans="1:12">
      <c r="A1180" s="21">
        <f>RRG趋势计算!A1179</f>
        <v>46283</v>
      </c>
      <c r="B1180" s="1" t="str">
        <f>RRG趋势计算!H1179</f>
        <v>减弱</v>
      </c>
      <c r="C1180" s="1" t="str">
        <f>价格指标计算!R1180</f>
        <v>贵</v>
      </c>
      <c r="D1180" s="1" t="str">
        <f>RRG趋势计算!F1179</f>
        <v>上升</v>
      </c>
      <c r="E1180" s="1" t="str">
        <f t="shared" si="74"/>
        <v>持仓</v>
      </c>
      <c r="I1180" s="1">
        <f>价格指标计算!B1180</f>
        <v>1.9529000000000001</v>
      </c>
      <c r="J1180" s="1">
        <f>价格指标计算!Q1180</f>
        <v>8.9999999999999993E-3</v>
      </c>
      <c r="K1180" s="1">
        <f>RRG趋势计算!D1179</f>
        <v>0.4326026264543481</v>
      </c>
      <c r="L1180" s="1">
        <f>RRG趋势计算!G1179</f>
        <v>-9.335427650114525E-3</v>
      </c>
    </row>
    <row r="1181" spans="1:12">
      <c r="A1181" s="21">
        <f>RRG趋势计算!A1180</f>
        <v>46285</v>
      </c>
      <c r="B1181" s="1" t="str">
        <f>RRG趋势计算!H1180</f>
        <v>领先</v>
      </c>
      <c r="C1181" s="1" t="str">
        <f>价格指标计算!R1181</f>
        <v>贵</v>
      </c>
      <c r="D1181" s="1" t="str">
        <f>RRG趋势计算!F1180</f>
        <v>上升</v>
      </c>
      <c r="E1181" s="1" t="str">
        <f t="shared" si="74"/>
        <v>持仓</v>
      </c>
      <c r="I1181" s="1">
        <f>价格指标计算!B1181</f>
        <v>1.9444999999999999</v>
      </c>
      <c r="J1181" s="1">
        <f>价格指标计算!Q1181</f>
        <v>3.0000000000000001E-3</v>
      </c>
      <c r="K1181" s="1">
        <f>RRG趋势计算!D1180</f>
        <v>0.48111566256190397</v>
      </c>
      <c r="L1181" s="1">
        <f>RRG趋势计算!G1180</f>
        <v>5.9110415358909485E-2</v>
      </c>
    </row>
    <row r="1182" spans="1:12">
      <c r="A1182" s="21">
        <f>RRG趋势计算!A1181</f>
        <v>46286</v>
      </c>
      <c r="B1182" s="1" t="str">
        <f>RRG趋势计算!H1181</f>
        <v>领先</v>
      </c>
      <c r="C1182" s="1" t="str">
        <f>价格指标计算!R1182</f>
        <v>贵</v>
      </c>
      <c r="D1182" s="1" t="str">
        <f>RRG趋势计算!F1181</f>
        <v>上升</v>
      </c>
      <c r="E1182" s="1" t="str">
        <f t="shared" si="74"/>
        <v>持仓</v>
      </c>
      <c r="I1182" s="1">
        <f>价格指标计算!B1182</f>
        <v>1.9218999999999999</v>
      </c>
      <c r="J1182" s="1">
        <f>价格指标计算!Q1182</f>
        <v>3.0000000000000001E-3</v>
      </c>
      <c r="K1182" s="1">
        <f>RRG趋势计算!D1181</f>
        <v>0.51425934190580946</v>
      </c>
      <c r="L1182" s="1">
        <f>RRG趋势计算!G1181</f>
        <v>6.9175372689911363E-2</v>
      </c>
    </row>
    <row r="1183" spans="1:12">
      <c r="A1183" s="21">
        <f>RRG趋势计算!A1182</f>
        <v>46287</v>
      </c>
      <c r="B1183" s="1" t="str">
        <f>RRG趋势计算!H1182</f>
        <v>领先</v>
      </c>
      <c r="C1183" s="1" t="str">
        <f>价格指标计算!R1183</f>
        <v>贵</v>
      </c>
      <c r="D1183" s="1" t="str">
        <f>RRG趋势计算!F1182</f>
        <v>上升</v>
      </c>
      <c r="E1183" s="1" t="str">
        <f t="shared" si="74"/>
        <v>持仓</v>
      </c>
      <c r="I1183" s="1">
        <f>价格指标计算!B1183</f>
        <v>1.9167000000000001</v>
      </c>
      <c r="J1183" s="1">
        <f>价格指标计算!Q1183</f>
        <v>3.0000000000000001E-3</v>
      </c>
      <c r="K1183" s="1">
        <f>RRG趋势计算!D1182</f>
        <v>0.56905972000065308</v>
      </c>
      <c r="L1183" s="1">
        <f>RRG趋势计算!G1182</f>
        <v>0.12824439825638301</v>
      </c>
    </row>
    <row r="1184" spans="1:12">
      <c r="A1184" s="21">
        <f>RRG趋势计算!A1183</f>
        <v>46288</v>
      </c>
      <c r="B1184" s="1" t="str">
        <f>RRG趋势计算!H1183</f>
        <v>领先</v>
      </c>
      <c r="C1184" s="1" t="str">
        <f>价格指标计算!R1184</f>
        <v>贵</v>
      </c>
      <c r="D1184" s="1" t="str">
        <f>RRG趋势计算!F1183</f>
        <v>上升</v>
      </c>
      <c r="E1184" s="1" t="str">
        <f t="shared" si="74"/>
        <v>持仓</v>
      </c>
      <c r="I1184" s="1">
        <f>价格指标计算!B1184</f>
        <v>1.9038999999999999</v>
      </c>
      <c r="J1184" s="1">
        <f>价格指标计算!Q1184</f>
        <v>3.0000000000000001E-3</v>
      </c>
      <c r="K1184" s="1">
        <f>RRG趋势计算!D1183</f>
        <v>0.60604942171857967</v>
      </c>
      <c r="L1184" s="1">
        <f>RRG趋势计算!G1183</f>
        <v>0.16370392181102034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2026-09-24T01:16:22Z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