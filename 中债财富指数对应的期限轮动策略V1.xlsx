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2FE2B620-1933-40CD-8FD4-90DE1FBAA481}" xr6:coauthVersionLast="47" xr6:coauthVersionMax="47" xr10:uidLastSave="{00000000-0000-0000-0000-000000000000}"/>
  <bookViews>
    <workbookView xWindow="-108" yWindow="-108" windowWidth="23256" windowHeight="12720" activeTab="4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68" i="8" l="1"/>
  <c r="B1168" i="8"/>
  <c r="E1168" i="8" s="1"/>
  <c r="C1168" i="8"/>
  <c r="D1168" i="8"/>
  <c r="I1168" i="8"/>
  <c r="J1168" i="8"/>
  <c r="K1168" i="8"/>
  <c r="L1168" i="8"/>
  <c r="A1168" i="7"/>
  <c r="B1168" i="7"/>
  <c r="C1168" i="7" s="1"/>
  <c r="H1168" i="7"/>
  <c r="I1168" i="7" s="1"/>
  <c r="P1168" i="7"/>
  <c r="A1167" i="6"/>
  <c r="B1167" i="6"/>
  <c r="C1167" i="6" s="1"/>
  <c r="A1167" i="4"/>
  <c r="H1167" i="5"/>
  <c r="I1167" i="5"/>
  <c r="A1167" i="7"/>
  <c r="B1167" i="7"/>
  <c r="I1167" i="8" s="1"/>
  <c r="A1166" i="4"/>
  <c r="A1166" i="6" s="1"/>
  <c r="A1167" i="8" s="1"/>
  <c r="H1166" i="5"/>
  <c r="H1167" i="7" s="1"/>
  <c r="I1166" i="5"/>
  <c r="A1166" i="7"/>
  <c r="B1166" i="7"/>
  <c r="I1166" i="8" s="1"/>
  <c r="A1165" i="4"/>
  <c r="A1165" i="6" s="1"/>
  <c r="A1166" i="8" s="1"/>
  <c r="H1165" i="5"/>
  <c r="H1166" i="7" s="1"/>
  <c r="I1165" i="5"/>
  <c r="A1165" i="7"/>
  <c r="B1165" i="7"/>
  <c r="H1164" i="5"/>
  <c r="H1165" i="7" s="1"/>
  <c r="I1164" i="5"/>
  <c r="A1164" i="4"/>
  <c r="A1164" i="6" s="1"/>
  <c r="A1165" i="8" s="1"/>
  <c r="A1164" i="7"/>
  <c r="B1164" i="7"/>
  <c r="I1164" i="8" s="1"/>
  <c r="A1163" i="4"/>
  <c r="A1163" i="6" s="1"/>
  <c r="A1164" i="8" s="1"/>
  <c r="H1163" i="5"/>
  <c r="H1164" i="7" s="1"/>
  <c r="I1163" i="5"/>
  <c r="A1160" i="7"/>
  <c r="B1160" i="7"/>
  <c r="I1160" i="8" s="1"/>
  <c r="A1161" i="7"/>
  <c r="B1161" i="7"/>
  <c r="A1162" i="7"/>
  <c r="B1162" i="7"/>
  <c r="I1162" i="8" s="1"/>
  <c r="A1163" i="7"/>
  <c r="B1163" i="7"/>
  <c r="I1163" i="8" s="1"/>
  <c r="A1162" i="4"/>
  <c r="A1162" i="6" s="1"/>
  <c r="A1163" i="8" s="1"/>
  <c r="A1159" i="4"/>
  <c r="A1159" i="6" s="1"/>
  <c r="A1160" i="8" s="1"/>
  <c r="A1160" i="4"/>
  <c r="A1160" i="6" s="1"/>
  <c r="A1161" i="8" s="1"/>
  <c r="A1161" i="4"/>
  <c r="A1161" i="6" s="1"/>
  <c r="A1162" i="8" s="1"/>
  <c r="H1159" i="5"/>
  <c r="H1160" i="7" s="1"/>
  <c r="I1159" i="5"/>
  <c r="H1160" i="5"/>
  <c r="H1161" i="7" s="1"/>
  <c r="I1160" i="5"/>
  <c r="H1161" i="5"/>
  <c r="H1162" i="7" s="1"/>
  <c r="I1161" i="5"/>
  <c r="H1162" i="5"/>
  <c r="H1163" i="7" s="1"/>
  <c r="I1162" i="5"/>
  <c r="A1159" i="7"/>
  <c r="B1159" i="7"/>
  <c r="I1159" i="8" s="1"/>
  <c r="A1158" i="4"/>
  <c r="A1158" i="6" s="1"/>
  <c r="A1159" i="8" s="1"/>
  <c r="H1158" i="5"/>
  <c r="H1159" i="7" s="1"/>
  <c r="I1158" i="5"/>
  <c r="A1157" i="7"/>
  <c r="B1157" i="7"/>
  <c r="A1158" i="7"/>
  <c r="B1158" i="7"/>
  <c r="I1158" i="8" s="1"/>
  <c r="A1157" i="4"/>
  <c r="A1157" i="6" s="1"/>
  <c r="A1158" i="8" s="1"/>
  <c r="A1156" i="4"/>
  <c r="A1156" i="6" s="1"/>
  <c r="A1157" i="8" s="1"/>
  <c r="H1156" i="5"/>
  <c r="H1157" i="7" s="1"/>
  <c r="I1156" i="5"/>
  <c r="H1157" i="5"/>
  <c r="H1158" i="7" s="1"/>
  <c r="I1157" i="5"/>
  <c r="A1156" i="7"/>
  <c r="B1156" i="7"/>
  <c r="I1156" i="8" s="1"/>
  <c r="A1155" i="4"/>
  <c r="A1155" i="6" s="1"/>
  <c r="A1156" i="8" s="1"/>
  <c r="H1155" i="5"/>
  <c r="H1156" i="7" s="1"/>
  <c r="I1155" i="5"/>
  <c r="A1155" i="7"/>
  <c r="B1155" i="7"/>
  <c r="I1155" i="8" s="1"/>
  <c r="A1154" i="4"/>
  <c r="A1154" i="6" s="1"/>
  <c r="A1155" i="8" s="1"/>
  <c r="H1154" i="5"/>
  <c r="H1155" i="7" s="1"/>
  <c r="I1154" i="5"/>
  <c r="A1154" i="7"/>
  <c r="B1154" i="7"/>
  <c r="A1153" i="4"/>
  <c r="A1153" i="6" s="1"/>
  <c r="A1154" i="8" s="1"/>
  <c r="H1153" i="5"/>
  <c r="H1154" i="7" s="1"/>
  <c r="I1153" i="5"/>
  <c r="A1153" i="7"/>
  <c r="B1153" i="7"/>
  <c r="I1153" i="8" s="1"/>
  <c r="A1152" i="4"/>
  <c r="A1152" i="6" s="1"/>
  <c r="A1153" i="8" s="1"/>
  <c r="H1152" i="5"/>
  <c r="H1153" i="7" s="1"/>
  <c r="I1152" i="5"/>
  <c r="A1152" i="7"/>
  <c r="B1152" i="7"/>
  <c r="I1152" i="8" s="1"/>
  <c r="A1151" i="4"/>
  <c r="A1151" i="6" s="1"/>
  <c r="A1152" i="8" s="1"/>
  <c r="H1151" i="5"/>
  <c r="H1152" i="7" s="1"/>
  <c r="I1151" i="5"/>
  <c r="A1151" i="7"/>
  <c r="B1151" i="7"/>
  <c r="I1151" i="8" s="1"/>
  <c r="A1150" i="4"/>
  <c r="A1150" i="6" s="1"/>
  <c r="A1151" i="8" s="1"/>
  <c r="H1150" i="5"/>
  <c r="H1151" i="7" s="1"/>
  <c r="I1150" i="5"/>
  <c r="A1150" i="7"/>
  <c r="B1150" i="7"/>
  <c r="I1150" i="8" s="1"/>
  <c r="A1149" i="4"/>
  <c r="A1149" i="6" s="1"/>
  <c r="A1150" i="8" s="1"/>
  <c r="H1149" i="5"/>
  <c r="H1150" i="7" s="1"/>
  <c r="I1149" i="5"/>
  <c r="A1149" i="7"/>
  <c r="B1149" i="7"/>
  <c r="I1149" i="8" s="1"/>
  <c r="A1148" i="4"/>
  <c r="A1148" i="6" s="1"/>
  <c r="A1149" i="8" s="1"/>
  <c r="H1148" i="5"/>
  <c r="H1149" i="7" s="1"/>
  <c r="I1148" i="5"/>
  <c r="A1148" i="7"/>
  <c r="B1148" i="7"/>
  <c r="I1148" i="8" s="1"/>
  <c r="A1147" i="4"/>
  <c r="A1147" i="6" s="1"/>
  <c r="A1148" i="8" s="1"/>
  <c r="H1147" i="5"/>
  <c r="H1148" i="7" s="1"/>
  <c r="I1147" i="5"/>
  <c r="A1147" i="7"/>
  <c r="B1147" i="7"/>
  <c r="I1147" i="8" s="1"/>
  <c r="A1146" i="4"/>
  <c r="A1146" i="6" s="1"/>
  <c r="A1147" i="8" s="1"/>
  <c r="H1146" i="5"/>
  <c r="H1147" i="7" s="1"/>
  <c r="I1146" i="5"/>
  <c r="A1146" i="7"/>
  <c r="B1146" i="7"/>
  <c r="I1146" i="8" s="1"/>
  <c r="A1145" i="4"/>
  <c r="A1145" i="6" s="1"/>
  <c r="A1146" i="8" s="1"/>
  <c r="H1145" i="5"/>
  <c r="H1146" i="7" s="1"/>
  <c r="I1145" i="5"/>
  <c r="A1145" i="7"/>
  <c r="B1145" i="7"/>
  <c r="A1144" i="4"/>
  <c r="A1144" i="6" s="1"/>
  <c r="A1145" i="8" s="1"/>
  <c r="H1144" i="5"/>
  <c r="H1145" i="7" s="1"/>
  <c r="I1144" i="5"/>
  <c r="A1143" i="4"/>
  <c r="A1143" i="6" s="1"/>
  <c r="A1144" i="8" s="1"/>
  <c r="A1144" i="7"/>
  <c r="B1144" i="7"/>
  <c r="I1144" i="8" s="1"/>
  <c r="H1143" i="5"/>
  <c r="H1144" i="7" s="1"/>
  <c r="I1143" i="5"/>
  <c r="A1143" i="7"/>
  <c r="B1143" i="7"/>
  <c r="I1143" i="8" s="1"/>
  <c r="A1142" i="4"/>
  <c r="A1142" i="6" s="1"/>
  <c r="A1143" i="8" s="1"/>
  <c r="H1142" i="5"/>
  <c r="H1143" i="7" s="1"/>
  <c r="I1142" i="5"/>
  <c r="A1142" i="7"/>
  <c r="B1142" i="7"/>
  <c r="I1142" i="8" s="1"/>
  <c r="A1141" i="4"/>
  <c r="A1141" i="6" s="1"/>
  <c r="A1142" i="8" s="1"/>
  <c r="H1141" i="5"/>
  <c r="H1142" i="7" s="1"/>
  <c r="I1141" i="5"/>
  <c r="A1141" i="7"/>
  <c r="B1141" i="7"/>
  <c r="I1141" i="8" s="1"/>
  <c r="A1140" i="4"/>
  <c r="A1140" i="6" s="1"/>
  <c r="A1141" i="8" s="1"/>
  <c r="H1140" i="5"/>
  <c r="H1141" i="7" s="1"/>
  <c r="I1140" i="5"/>
  <c r="A1140" i="7"/>
  <c r="B1140" i="7"/>
  <c r="A1139" i="4"/>
  <c r="A1139" i="6" s="1"/>
  <c r="A1140" i="8" s="1"/>
  <c r="H1139" i="5"/>
  <c r="H1140" i="7" s="1"/>
  <c r="I1139" i="5"/>
  <c r="A1139" i="7"/>
  <c r="B1139" i="7"/>
  <c r="A1138" i="4"/>
  <c r="A1138" i="6" s="1"/>
  <c r="A1139" i="8" s="1"/>
  <c r="H1138" i="5"/>
  <c r="H1139" i="7" s="1"/>
  <c r="I1138" i="5"/>
  <c r="A1138" i="7"/>
  <c r="B1138" i="7"/>
  <c r="I1138" i="8" s="1"/>
  <c r="A1137" i="4"/>
  <c r="A1137" i="6" s="1"/>
  <c r="A1138" i="8" s="1"/>
  <c r="H1137" i="5"/>
  <c r="H1138" i="7" s="1"/>
  <c r="I1137" i="5"/>
  <c r="A1137" i="7"/>
  <c r="B1137" i="7"/>
  <c r="A1136" i="4"/>
  <c r="A1136" i="6" s="1"/>
  <c r="A1137" i="8" s="1"/>
  <c r="H1136" i="5"/>
  <c r="H1137" i="7" s="1"/>
  <c r="I1136" i="5"/>
  <c r="A1136" i="7"/>
  <c r="B1136" i="7"/>
  <c r="I1136" i="8" s="1"/>
  <c r="A1135" i="4"/>
  <c r="A1135" i="6" s="1"/>
  <c r="A1136" i="8" s="1"/>
  <c r="H1135" i="5"/>
  <c r="H1136" i="7" s="1"/>
  <c r="I1135" i="5"/>
  <c r="A1135" i="7"/>
  <c r="B1135" i="7"/>
  <c r="A1134" i="4"/>
  <c r="A1134" i="6" s="1"/>
  <c r="A1135" i="8" s="1"/>
  <c r="H1134" i="5"/>
  <c r="H1135" i="7" s="1"/>
  <c r="I1134" i="5"/>
  <c r="A1134" i="7"/>
  <c r="B1134" i="7"/>
  <c r="I1134" i="8" s="1"/>
  <c r="A1133" i="4"/>
  <c r="A1133" i="6" s="1"/>
  <c r="A1134" i="8" s="1"/>
  <c r="H1133" i="5"/>
  <c r="H1134" i="7" s="1"/>
  <c r="I1133" i="5"/>
  <c r="A1133" i="7"/>
  <c r="B1133" i="7"/>
  <c r="A1132" i="4"/>
  <c r="A1132" i="6" s="1"/>
  <c r="A1133" i="8" s="1"/>
  <c r="H1132" i="5"/>
  <c r="H1133" i="7" s="1"/>
  <c r="I1132" i="5"/>
  <c r="A1132" i="7"/>
  <c r="B1132" i="7"/>
  <c r="A1131" i="4"/>
  <c r="A1131" i="6" s="1"/>
  <c r="A1132" i="8" s="1"/>
  <c r="H1131" i="5"/>
  <c r="H1132" i="7" s="1"/>
  <c r="I1131" i="5"/>
  <c r="A1131" i="7"/>
  <c r="B1131" i="7"/>
  <c r="I1131" i="8" s="1"/>
  <c r="A1130" i="4"/>
  <c r="A1130" i="6" s="1"/>
  <c r="A1131" i="8" s="1"/>
  <c r="H1130" i="5"/>
  <c r="H1131" i="7" s="1"/>
  <c r="I1130" i="5"/>
  <c r="A1130" i="7"/>
  <c r="B1130" i="7"/>
  <c r="I1130" i="8" s="1"/>
  <c r="A1129" i="4"/>
  <c r="A1129" i="6" s="1"/>
  <c r="A1130" i="8" s="1"/>
  <c r="H1129" i="5"/>
  <c r="H1130" i="7" s="1"/>
  <c r="I1129" i="5"/>
  <c r="A1129" i="7"/>
  <c r="B1129" i="7"/>
  <c r="I1129" i="8" s="1"/>
  <c r="A1128" i="4"/>
  <c r="A1128" i="6" s="1"/>
  <c r="A1129" i="8" s="1"/>
  <c r="H1128" i="5"/>
  <c r="H1129" i="7" s="1"/>
  <c r="I1128" i="5"/>
  <c r="A1128" i="7"/>
  <c r="B1128" i="7"/>
  <c r="A1127" i="4"/>
  <c r="A1127" i="6" s="1"/>
  <c r="A1128" i="8" s="1"/>
  <c r="H1127" i="5"/>
  <c r="H1128" i="7" s="1"/>
  <c r="I1127" i="5"/>
  <c r="A1127" i="7"/>
  <c r="B1127" i="7"/>
  <c r="A1126" i="4"/>
  <c r="A1126" i="6" s="1"/>
  <c r="A1127" i="8" s="1"/>
  <c r="H1126" i="5"/>
  <c r="H1127" i="7" s="1"/>
  <c r="I1126" i="5"/>
  <c r="A1126" i="7"/>
  <c r="B1126" i="7"/>
  <c r="I1126" i="8" s="1"/>
  <c r="A1125" i="4"/>
  <c r="A1125" i="6" s="1"/>
  <c r="A1126" i="8" s="1"/>
  <c r="H1125" i="5"/>
  <c r="H1126" i="7" s="1"/>
  <c r="I1125" i="5"/>
  <c r="A1125" i="7"/>
  <c r="B1125" i="7"/>
  <c r="I1125" i="8" s="1"/>
  <c r="A1124" i="4"/>
  <c r="A1124" i="6" s="1"/>
  <c r="A1125" i="8" s="1"/>
  <c r="H1124" i="5"/>
  <c r="H1125" i="7" s="1"/>
  <c r="I1124" i="5"/>
  <c r="A1124" i="7"/>
  <c r="B1124" i="7"/>
  <c r="I1124" i="8" s="1"/>
  <c r="A1123" i="4"/>
  <c r="A1123" i="6" s="1"/>
  <c r="A1124" i="8" s="1"/>
  <c r="H1122" i="5"/>
  <c r="H1123" i="7" s="1"/>
  <c r="I1122" i="5"/>
  <c r="H1123" i="5"/>
  <c r="H1124" i="7" s="1"/>
  <c r="I1123" i="5"/>
  <c r="A1123" i="7"/>
  <c r="B1123" i="7"/>
  <c r="A1122" i="4"/>
  <c r="A1122" i="6" s="1"/>
  <c r="A1123" i="8" s="1"/>
  <c r="A1122" i="7"/>
  <c r="B1122" i="7"/>
  <c r="I1122" i="8" s="1"/>
  <c r="A1121" i="4"/>
  <c r="A1121" i="6" s="1"/>
  <c r="A1122" i="8" s="1"/>
  <c r="H1121" i="5"/>
  <c r="H1122" i="7" s="1"/>
  <c r="I1121" i="5"/>
  <c r="A1121" i="7"/>
  <c r="B1121" i="7"/>
  <c r="A1120" i="4"/>
  <c r="A1120" i="6" s="1"/>
  <c r="A1121" i="8" s="1"/>
  <c r="H1120" i="5"/>
  <c r="H1121" i="7" s="1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67" i="4"/>
  <c r="C1167" i="4"/>
  <c r="D1167" i="4"/>
  <c r="E1167" i="4"/>
  <c r="F1167" i="4"/>
  <c r="G1167" i="4"/>
  <c r="D1166" i="4"/>
  <c r="G1139" i="4"/>
  <c r="C1113" i="4"/>
  <c r="C1156" i="4"/>
  <c r="E1107" i="4"/>
  <c r="B1109" i="4"/>
  <c r="F1151" i="4"/>
  <c r="E1160" i="4"/>
  <c r="D1128" i="4"/>
  <c r="B1124" i="4"/>
  <c r="B1115" i="4"/>
  <c r="G1134" i="4"/>
  <c r="C1124" i="4"/>
  <c r="E1123" i="4"/>
  <c r="B1118" i="4"/>
  <c r="B1128" i="4"/>
  <c r="F1130" i="4"/>
  <c r="D1135" i="4"/>
  <c r="G1129" i="4"/>
  <c r="C1126" i="4"/>
  <c r="E1136" i="4"/>
  <c r="C1165" i="4"/>
  <c r="E1161" i="4"/>
  <c r="F1150" i="4"/>
  <c r="F1126" i="4"/>
  <c r="E1106" i="4"/>
  <c r="C1132" i="4"/>
  <c r="F1132" i="4"/>
  <c r="B1138" i="4"/>
  <c r="D1152" i="4"/>
  <c r="F1155" i="4"/>
  <c r="E1158" i="4"/>
  <c r="C1151" i="4"/>
  <c r="G1110" i="4"/>
  <c r="B1105" i="4"/>
  <c r="G1142" i="4"/>
  <c r="E1151" i="4"/>
  <c r="G1144" i="4"/>
  <c r="G1127" i="4"/>
  <c r="D1117" i="4"/>
  <c r="G1117" i="4"/>
  <c r="A1" i="5"/>
  <c r="G1128" i="4"/>
  <c r="C1119" i="4"/>
  <c r="C1147" i="4"/>
  <c r="B1134" i="4"/>
  <c r="E1146" i="4"/>
  <c r="D1139" i="4"/>
  <c r="D1130" i="4"/>
  <c r="C1135" i="4"/>
  <c r="G1164" i="4"/>
  <c r="G1163" i="4"/>
  <c r="D1151" i="4"/>
  <c r="B1156" i="4"/>
  <c r="D1165" i="4"/>
  <c r="C1146" i="4"/>
  <c r="G1143" i="4"/>
  <c r="G1157" i="4"/>
  <c r="D1149" i="4"/>
  <c r="D1137" i="4"/>
  <c r="E1166" i="4"/>
  <c r="B1132" i="4"/>
  <c r="G1154" i="4"/>
  <c r="E1156" i="4"/>
  <c r="F1115" i="4"/>
  <c r="G1113" i="4"/>
  <c r="C1153" i="4"/>
  <c r="E1152" i="4"/>
  <c r="C1150" i="4"/>
  <c r="C1152" i="4"/>
  <c r="G1116" i="4"/>
  <c r="B1119" i="4"/>
  <c r="B1142" i="4"/>
  <c r="E1125" i="4"/>
  <c r="D1143" i="4"/>
  <c r="E1155" i="4"/>
  <c r="F1125" i="4"/>
  <c r="B1160" i="4"/>
  <c r="B1151" i="4"/>
  <c r="C1137" i="4"/>
  <c r="G1131" i="4"/>
  <c r="E1141" i="4"/>
  <c r="C1142" i="4"/>
  <c r="G1159" i="4"/>
  <c r="G1148" i="4"/>
  <c r="B1133" i="4"/>
  <c r="D1124" i="4"/>
  <c r="F1107" i="4"/>
  <c r="D1156" i="4"/>
  <c r="B1139" i="4"/>
  <c r="G1122" i="4"/>
  <c r="F1127" i="4"/>
  <c r="G1141" i="4"/>
  <c r="B1155" i="4"/>
  <c r="D1164" i="4"/>
  <c r="D1116" i="4"/>
  <c r="E1126" i="4"/>
  <c r="G1152" i="4"/>
  <c r="E1105" i="4"/>
  <c r="F1142" i="4"/>
  <c r="B1143" i="4"/>
  <c r="C1106" i="4"/>
  <c r="D1153" i="4"/>
  <c r="B1126" i="4"/>
  <c r="F1162" i="4"/>
  <c r="F1141" i="4"/>
  <c r="F1166" i="4"/>
  <c r="B1130" i="4"/>
  <c r="D1150" i="4"/>
  <c r="F1147" i="4"/>
  <c r="E1134" i="4"/>
  <c r="C1158" i="4"/>
  <c r="D1114" i="4"/>
  <c r="D1163" i="4"/>
  <c r="F1131" i="4"/>
  <c r="E1157" i="4"/>
  <c r="C1118" i="4"/>
  <c r="C1125" i="4"/>
  <c r="B1121" i="4"/>
  <c r="G1165" i="4"/>
  <c r="B1165" i="4"/>
  <c r="G1150" i="4"/>
  <c r="C1140" i="4"/>
  <c r="F1106" i="4"/>
  <c r="C1148" i="4"/>
  <c r="D1136" i="4"/>
  <c r="E1163" i="4"/>
  <c r="B1149" i="4"/>
  <c r="E1162" i="4"/>
  <c r="C1122" i="4"/>
  <c r="E1112" i="4"/>
  <c r="D1142" i="4"/>
  <c r="F1121" i="4"/>
  <c r="B1122" i="4"/>
  <c r="C1139" i="4"/>
  <c r="C1110" i="4"/>
  <c r="F1136" i="4"/>
  <c r="B1144" i="4"/>
  <c r="D1129" i="4"/>
  <c r="C1117" i="4"/>
  <c r="C1108" i="4"/>
  <c r="B1163" i="4"/>
  <c r="F1124" i="4"/>
  <c r="F1133" i="4"/>
  <c r="D1118" i="4"/>
  <c r="F1138" i="4"/>
  <c r="E1114" i="4"/>
  <c r="D1162" i="4"/>
  <c r="C1159" i="4"/>
  <c r="G1121" i="4"/>
  <c r="G1156" i="4"/>
  <c r="C1116" i="4"/>
  <c r="G1111" i="4"/>
  <c r="B1110" i="4"/>
  <c r="C1123" i="4"/>
  <c r="E1135" i="4"/>
  <c r="C1166" i="4"/>
  <c r="E1119" i="4"/>
  <c r="E1127" i="4"/>
  <c r="F1164" i="4"/>
  <c r="C1154" i="4"/>
  <c r="B1116" i="4"/>
  <c r="C1130" i="4"/>
  <c r="F1146" i="4"/>
  <c r="G1161" i="4"/>
  <c r="E1150" i="4"/>
  <c r="C1128" i="4"/>
  <c r="D1119" i="4"/>
  <c r="G1166" i="4"/>
  <c r="D1110" i="4"/>
  <c r="D1146" i="4"/>
  <c r="F1122" i="4"/>
  <c r="F1140" i="4"/>
  <c r="F1119" i="4"/>
  <c r="G1107" i="4"/>
  <c r="B1148" i="4"/>
  <c r="F1137" i="4"/>
  <c r="B1135" i="4"/>
  <c r="C1127" i="4"/>
  <c r="B1129" i="4"/>
  <c r="G1115" i="4"/>
  <c r="D1121" i="4"/>
  <c r="C1121" i="4"/>
  <c r="E1110" i="4"/>
  <c r="B1145" i="4"/>
  <c r="B1161" i="4"/>
  <c r="E1113" i="4"/>
  <c r="F1135" i="4"/>
  <c r="E1153" i="4"/>
  <c r="F1148" i="4"/>
  <c r="C1107" i="4"/>
  <c r="D1131" i="4"/>
  <c r="D1127" i="4"/>
  <c r="E1132" i="4"/>
  <c r="G1146" i="4"/>
  <c r="F1128" i="4"/>
  <c r="F1154" i="4"/>
  <c r="G1145" i="4"/>
  <c r="C1136" i="4"/>
  <c r="E1164" i="4"/>
  <c r="F1163" i="4"/>
  <c r="E1148" i="4"/>
  <c r="D1108" i="4"/>
  <c r="E1149" i="4"/>
  <c r="F1159" i="4"/>
  <c r="G1140" i="4"/>
  <c r="D1111" i="4"/>
  <c r="G1155" i="4"/>
  <c r="D1160" i="4"/>
  <c r="D1126" i="4"/>
  <c r="F1109" i="4"/>
  <c r="E1129" i="4"/>
  <c r="C1115" i="4"/>
  <c r="G1105" i="4"/>
  <c r="E1117" i="4"/>
  <c r="C1129" i="4"/>
  <c r="B1131" i="4"/>
  <c r="G1153" i="4"/>
  <c r="C1162" i="4"/>
  <c r="G1125" i="4"/>
  <c r="G1112" i="4"/>
  <c r="E1124" i="4"/>
  <c r="D1148" i="4"/>
  <c r="B1146" i="4"/>
  <c r="D1138" i="4"/>
  <c r="D1120" i="4"/>
  <c r="C1163" i="4"/>
  <c r="C1114" i="4"/>
  <c r="G1151" i="4"/>
  <c r="D1125" i="4"/>
  <c r="B1158" i="4"/>
  <c r="B1159" i="4"/>
  <c r="F1114" i="4"/>
  <c r="G1114" i="4"/>
  <c r="B1107" i="4"/>
  <c r="B1152" i="4"/>
  <c r="B1113" i="4"/>
  <c r="C1145" i="4"/>
  <c r="G1106" i="4"/>
  <c r="G1149" i="4"/>
  <c r="E1118" i="4"/>
  <c r="D1134" i="4"/>
  <c r="B1147" i="4"/>
  <c r="F1143" i="4"/>
  <c r="F1113" i="4"/>
  <c r="D1107" i="4"/>
  <c r="E1137" i="4"/>
  <c r="F1112" i="4"/>
  <c r="F1116" i="4"/>
  <c r="G1132" i="4"/>
  <c r="C1160" i="4"/>
  <c r="B1154" i="4"/>
  <c r="G1124" i="4"/>
  <c r="E1154" i="4"/>
  <c r="E1131" i="4"/>
  <c r="C1131" i="4"/>
  <c r="E1109" i="4"/>
  <c r="F1158" i="4"/>
  <c r="C1141" i="4"/>
  <c r="F1123" i="4"/>
  <c r="C1112" i="4"/>
  <c r="C1134" i="4"/>
  <c r="G1109" i="4"/>
  <c r="D1155" i="4"/>
  <c r="C1155" i="4"/>
  <c r="C1109" i="4"/>
  <c r="E1108" i="4"/>
  <c r="D1133" i="4"/>
  <c r="G1130" i="4"/>
  <c r="B1112" i="4"/>
  <c r="G1158" i="4"/>
  <c r="B1137" i="4"/>
  <c r="F1139" i="4"/>
  <c r="D1122" i="4"/>
  <c r="E1144" i="4"/>
  <c r="G1123" i="4"/>
  <c r="B1162" i="4"/>
  <c r="F1156" i="4"/>
  <c r="D1106" i="4"/>
  <c r="G1126" i="4"/>
  <c r="F1149" i="4"/>
  <c r="D1140" i="4"/>
  <c r="F1152" i="4"/>
  <c r="E1130" i="4"/>
  <c r="E1122" i="4"/>
  <c r="E1145" i="4"/>
  <c r="G1119" i="4"/>
  <c r="F1153" i="4"/>
  <c r="E1159" i="4"/>
  <c r="F1118" i="4"/>
  <c r="F1129" i="4"/>
  <c r="C1157" i="4"/>
  <c r="D1105" i="4"/>
  <c r="E1138" i="4"/>
  <c r="E1120" i="4"/>
  <c r="C1120" i="4"/>
  <c r="D1115" i="4"/>
  <c r="G1136" i="4"/>
  <c r="G1137" i="4"/>
  <c r="C1143" i="4"/>
  <c r="F1120" i="4"/>
  <c r="G1162" i="4"/>
  <c r="F1111" i="4"/>
  <c r="F1105" i="4"/>
  <c r="B1141" i="4"/>
  <c r="E1142" i="4"/>
  <c r="F1161" i="4"/>
  <c r="F1160" i="4"/>
  <c r="G1108" i="4"/>
  <c r="B1127" i="4"/>
  <c r="F1144" i="4"/>
  <c r="D1145" i="4"/>
  <c r="F1117" i="4"/>
  <c r="E1111" i="4"/>
  <c r="D1113" i="4"/>
  <c r="E1139" i="4"/>
  <c r="B1166" i="4"/>
  <c r="D1141" i="4"/>
  <c r="E1128" i="4"/>
  <c r="D1123" i="4"/>
  <c r="B1111" i="4"/>
  <c r="G1147" i="4"/>
  <c r="B1125" i="4"/>
  <c r="F1134" i="4"/>
  <c r="D1159" i="4"/>
  <c r="D1144" i="4"/>
  <c r="C1164" i="4"/>
  <c r="C1149" i="4"/>
  <c r="C1138" i="4"/>
  <c r="B1114" i="4"/>
  <c r="D1147" i="4"/>
  <c r="F1157" i="4"/>
  <c r="B1164" i="4"/>
  <c r="G1135" i="4"/>
  <c r="B1123" i="4"/>
  <c r="F1110" i="4"/>
  <c r="G1160" i="4"/>
  <c r="C1111" i="4"/>
  <c r="F1108" i="4"/>
  <c r="G1133" i="4"/>
  <c r="C1105" i="4"/>
  <c r="C1161" i="4"/>
  <c r="D1154" i="4"/>
  <c r="E1140" i="4"/>
  <c r="F1165" i="4"/>
  <c r="B1106" i="4"/>
  <c r="D1158" i="4"/>
  <c r="B1117" i="4"/>
  <c r="E1147" i="4"/>
  <c r="C1144" i="4"/>
  <c r="D1157" i="4"/>
  <c r="C1133" i="4"/>
  <c r="G1138" i="4"/>
  <c r="B1153" i="4"/>
  <c r="E1115" i="4"/>
  <c r="B1150" i="4"/>
  <c r="E1165" i="4"/>
  <c r="E1121" i="4"/>
  <c r="B1136" i="4"/>
  <c r="E1116" i="4"/>
  <c r="D1112" i="4"/>
  <c r="D1161" i="4"/>
  <c r="E1133" i="4"/>
  <c r="D1132" i="4"/>
  <c r="F1145" i="4"/>
  <c r="G1118" i="4"/>
  <c r="E1143" i="4"/>
  <c r="B1140" i="4"/>
  <c r="B1108" i="4"/>
  <c r="B1120" i="4"/>
  <c r="G1120" i="4"/>
  <c r="B1157" i="4"/>
  <c r="D1109" i="4"/>
  <c r="L1168" i="7" l="1"/>
  <c r="O1168" i="7"/>
  <c r="Q1168" i="7" s="1"/>
  <c r="R1168" i="7" s="1"/>
  <c r="D1168" i="7"/>
  <c r="E1168" i="7" s="1"/>
  <c r="J1168" i="7"/>
  <c r="K1168" i="7" s="1"/>
  <c r="M1168" i="7" s="1"/>
  <c r="D1167" i="6"/>
  <c r="I1167" i="4"/>
  <c r="H1167" i="4"/>
  <c r="I1166" i="4"/>
  <c r="H1166" i="4"/>
  <c r="I1165" i="4"/>
  <c r="H1165" i="4"/>
  <c r="I1165" i="8"/>
  <c r="I1164" i="4"/>
  <c r="H1164" i="4"/>
  <c r="I1163" i="4"/>
  <c r="H1163" i="4"/>
  <c r="I1161" i="8"/>
  <c r="I1162" i="4"/>
  <c r="H1162" i="4"/>
  <c r="I1161" i="4"/>
  <c r="I1160" i="4"/>
  <c r="I1159" i="4"/>
  <c r="H1161" i="4"/>
  <c r="H1160" i="4"/>
  <c r="H1159" i="4"/>
  <c r="I1158" i="4"/>
  <c r="H1158" i="4"/>
  <c r="I1157" i="8"/>
  <c r="I1157" i="4"/>
  <c r="H1157" i="4"/>
  <c r="I1156" i="4"/>
  <c r="H1156" i="4"/>
  <c r="I1155" i="4"/>
  <c r="H1155" i="4"/>
  <c r="I1154" i="4"/>
  <c r="H1154" i="4"/>
  <c r="I1154" i="8"/>
  <c r="I1153" i="4"/>
  <c r="H1153" i="4"/>
  <c r="I1152" i="4"/>
  <c r="H1152" i="4"/>
  <c r="I1151" i="4"/>
  <c r="H1151" i="4"/>
  <c r="I1150" i="4"/>
  <c r="H1150" i="4"/>
  <c r="I1149" i="4"/>
  <c r="H1149" i="4"/>
  <c r="I1148" i="4"/>
  <c r="H1148" i="4"/>
  <c r="I1147" i="4"/>
  <c r="H1147" i="4"/>
  <c r="I1146" i="4"/>
  <c r="H1146" i="4"/>
  <c r="I1145" i="4"/>
  <c r="H1145" i="4"/>
  <c r="I1145" i="8"/>
  <c r="I1144" i="4"/>
  <c r="H1144" i="4"/>
  <c r="I1143" i="4"/>
  <c r="H1143" i="4"/>
  <c r="I1142" i="4"/>
  <c r="H1142" i="4"/>
  <c r="I1141" i="4"/>
  <c r="H1141" i="4"/>
  <c r="I1140" i="4"/>
  <c r="H1140" i="4"/>
  <c r="I1140" i="8"/>
  <c r="I1139" i="4"/>
  <c r="H1139" i="4"/>
  <c r="I1139" i="8"/>
  <c r="I1138" i="4"/>
  <c r="H1138" i="4"/>
  <c r="I1137" i="4"/>
  <c r="H1137" i="4"/>
  <c r="I1137" i="8"/>
  <c r="I1136" i="4"/>
  <c r="H1136" i="4"/>
  <c r="I1135" i="4"/>
  <c r="H1135" i="4"/>
  <c r="I1135" i="8"/>
  <c r="I1134" i="4"/>
  <c r="H1134" i="4"/>
  <c r="I1133" i="4"/>
  <c r="H1133" i="4"/>
  <c r="I1133" i="8"/>
  <c r="I1132" i="4"/>
  <c r="H1132" i="4"/>
  <c r="I1132" i="8"/>
  <c r="I1131" i="4"/>
  <c r="H1131" i="4"/>
  <c r="I1130" i="4"/>
  <c r="H1130" i="4"/>
  <c r="I1129" i="4"/>
  <c r="H1129" i="4"/>
  <c r="I1128" i="4"/>
  <c r="H1128" i="4"/>
  <c r="I1128" i="8"/>
  <c r="I1127" i="4"/>
  <c r="H1127" i="4"/>
  <c r="I1127" i="8"/>
  <c r="I1126" i="4"/>
  <c r="H1126" i="4"/>
  <c r="I1125" i="4"/>
  <c r="H1125" i="4"/>
  <c r="I1124" i="4"/>
  <c r="H1124" i="4"/>
  <c r="I1123" i="4"/>
  <c r="H1123" i="4"/>
  <c r="I1123" i="8"/>
  <c r="I1122" i="4"/>
  <c r="H1122" i="4"/>
  <c r="I1121" i="4"/>
  <c r="H1121" i="4"/>
  <c r="I1121" i="8"/>
  <c r="I1120" i="4"/>
  <c r="H1120" i="4"/>
  <c r="I1119" i="4"/>
  <c r="H1119" i="4"/>
  <c r="I1118" i="4"/>
  <c r="H1118" i="4"/>
  <c r="I1117" i="4"/>
  <c r="I1116" i="4"/>
  <c r="H1117" i="4"/>
  <c r="H1116" i="4"/>
  <c r="I1116" i="8"/>
  <c r="I1115" i="4"/>
  <c r="H1115" i="4"/>
  <c r="I1114" i="4"/>
  <c r="H1114" i="4"/>
  <c r="I1114" i="8"/>
  <c r="I1113" i="4"/>
  <c r="H1113" i="4"/>
  <c r="I1112" i="4"/>
  <c r="H1112" i="4"/>
  <c r="I1112" i="8"/>
  <c r="I1111" i="4"/>
  <c r="H1111" i="4"/>
  <c r="I1110" i="4"/>
  <c r="H1110" i="4"/>
  <c r="B1109" i="7"/>
  <c r="O1167" i="7" s="1"/>
  <c r="H1108" i="5"/>
  <c r="H1109" i="7" s="1"/>
  <c r="I1167" i="7" s="1"/>
  <c r="I1109" i="4"/>
  <c r="H1109" i="4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I416" i="8"/>
  <c r="O416" i="7"/>
  <c r="D475" i="7"/>
  <c r="I408" i="8"/>
  <c r="O408" i="7"/>
  <c r="D467" i="7"/>
  <c r="I400" i="8"/>
  <c r="O400" i="7"/>
  <c r="D459" i="7"/>
  <c r="I392" i="8"/>
  <c r="O392" i="7"/>
  <c r="D451" i="7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I1031" i="8"/>
  <c r="O1031" i="7"/>
  <c r="D1090" i="7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I967" i="8"/>
  <c r="O967" i="7"/>
  <c r="D1026" i="7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I918" i="8"/>
  <c r="O918" i="7"/>
  <c r="D977" i="7"/>
  <c r="I910" i="8"/>
  <c r="O910" i="7"/>
  <c r="D969" i="7"/>
  <c r="I902" i="8"/>
  <c r="O902" i="7"/>
  <c r="D961" i="7"/>
  <c r="I894" i="8"/>
  <c r="O894" i="7"/>
  <c r="D953" i="7"/>
  <c r="I886" i="8"/>
  <c r="O886" i="7"/>
  <c r="D945" i="7"/>
  <c r="I878" i="8"/>
  <c r="O878" i="7"/>
  <c r="D937" i="7"/>
  <c r="I870" i="8"/>
  <c r="O870" i="7"/>
  <c r="D929" i="7"/>
  <c r="I862" i="8"/>
  <c r="O862" i="7"/>
  <c r="D921" i="7"/>
  <c r="I854" i="8"/>
  <c r="O854" i="7"/>
  <c r="D913" i="7"/>
  <c r="I846" i="8"/>
  <c r="O846" i="7"/>
  <c r="D905" i="7"/>
  <c r="I838" i="8"/>
  <c r="O838" i="7"/>
  <c r="D897" i="7"/>
  <c r="I830" i="8"/>
  <c r="O830" i="7"/>
  <c r="D889" i="7"/>
  <c r="I822" i="8"/>
  <c r="O822" i="7"/>
  <c r="D881" i="7"/>
  <c r="I814" i="8"/>
  <c r="O814" i="7"/>
  <c r="D873" i="7"/>
  <c r="I806" i="8"/>
  <c r="O806" i="7"/>
  <c r="D865" i="7"/>
  <c r="I798" i="8"/>
  <c r="O798" i="7"/>
  <c r="D857" i="7"/>
  <c r="I790" i="8"/>
  <c r="O790" i="7"/>
  <c r="D849" i="7"/>
  <c r="I782" i="8"/>
  <c r="O782" i="7"/>
  <c r="D841" i="7"/>
  <c r="I774" i="8"/>
  <c r="O774" i="7"/>
  <c r="D833" i="7"/>
  <c r="I766" i="8"/>
  <c r="O766" i="7"/>
  <c r="D825" i="7"/>
  <c r="I758" i="8"/>
  <c r="O758" i="7"/>
  <c r="D817" i="7"/>
  <c r="I750" i="8"/>
  <c r="O750" i="7"/>
  <c r="D809" i="7"/>
  <c r="I742" i="8"/>
  <c r="O742" i="7"/>
  <c r="D801" i="7"/>
  <c r="I734" i="8"/>
  <c r="O734" i="7"/>
  <c r="D793" i="7"/>
  <c r="I726" i="8"/>
  <c r="O726" i="7"/>
  <c r="D785" i="7"/>
  <c r="I718" i="8"/>
  <c r="O718" i="7"/>
  <c r="D777" i="7"/>
  <c r="I710" i="8"/>
  <c r="O710" i="7"/>
  <c r="D769" i="7"/>
  <c r="I702" i="8"/>
  <c r="O702" i="7"/>
  <c r="D761" i="7"/>
  <c r="I694" i="8"/>
  <c r="O694" i="7"/>
  <c r="D753" i="7"/>
  <c r="I686" i="8"/>
  <c r="O686" i="7"/>
  <c r="D745" i="7"/>
  <c r="I678" i="8"/>
  <c r="O678" i="7"/>
  <c r="D737" i="7"/>
  <c r="I670" i="8"/>
  <c r="O670" i="7"/>
  <c r="D729" i="7"/>
  <c r="I662" i="8"/>
  <c r="O662" i="7"/>
  <c r="D721" i="7"/>
  <c r="I654" i="8"/>
  <c r="O654" i="7"/>
  <c r="D713" i="7"/>
  <c r="I646" i="8"/>
  <c r="O646" i="7"/>
  <c r="D705" i="7"/>
  <c r="I638" i="8"/>
  <c r="O638" i="7"/>
  <c r="D697" i="7"/>
  <c r="I630" i="8"/>
  <c r="O630" i="7"/>
  <c r="D689" i="7"/>
  <c r="I622" i="8"/>
  <c r="O622" i="7"/>
  <c r="D681" i="7"/>
  <c r="I614" i="8"/>
  <c r="O614" i="7"/>
  <c r="D673" i="7"/>
  <c r="I606" i="8"/>
  <c r="O606" i="7"/>
  <c r="D665" i="7"/>
  <c r="I598" i="8"/>
  <c r="O598" i="7"/>
  <c r="D657" i="7"/>
  <c r="I590" i="8"/>
  <c r="O590" i="7"/>
  <c r="D649" i="7"/>
  <c r="I582" i="8"/>
  <c r="O582" i="7"/>
  <c r="D641" i="7"/>
  <c r="I574" i="8"/>
  <c r="O574" i="7"/>
  <c r="D633" i="7"/>
  <c r="I566" i="8"/>
  <c r="O566" i="7"/>
  <c r="D625" i="7"/>
  <c r="I558" i="8"/>
  <c r="O558" i="7"/>
  <c r="D617" i="7"/>
  <c r="I550" i="8"/>
  <c r="O550" i="7"/>
  <c r="D609" i="7"/>
  <c r="I542" i="8"/>
  <c r="O542" i="7"/>
  <c r="D601" i="7"/>
  <c r="I534" i="8"/>
  <c r="O534" i="7"/>
  <c r="D593" i="7"/>
  <c r="I526" i="8"/>
  <c r="O526" i="7"/>
  <c r="D585" i="7"/>
  <c r="I518" i="8"/>
  <c r="O518" i="7"/>
  <c r="D577" i="7"/>
  <c r="I510" i="8"/>
  <c r="O510" i="7"/>
  <c r="D569" i="7"/>
  <c r="I502" i="8"/>
  <c r="O502" i="7"/>
  <c r="D561" i="7"/>
  <c r="I494" i="8"/>
  <c r="O494" i="7"/>
  <c r="D553" i="7"/>
  <c r="I486" i="8"/>
  <c r="O486" i="7"/>
  <c r="D545" i="7"/>
  <c r="I478" i="8"/>
  <c r="O478" i="7"/>
  <c r="D537" i="7"/>
  <c r="I470" i="8"/>
  <c r="O470" i="7"/>
  <c r="D529" i="7"/>
  <c r="I462" i="8"/>
  <c r="O462" i="7"/>
  <c r="D521" i="7"/>
  <c r="I454" i="8"/>
  <c r="O454" i="7"/>
  <c r="D513" i="7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J1163" i="7" s="1"/>
  <c r="I3" i="5"/>
  <c r="H3" i="5"/>
  <c r="H4" i="7" s="1"/>
  <c r="D4" i="4"/>
  <c r="E4" i="4"/>
  <c r="E3" i="4"/>
  <c r="G4" i="4"/>
  <c r="F3" i="4"/>
  <c r="G3" i="4"/>
  <c r="C3" i="4"/>
  <c r="F4" i="4"/>
  <c r="D3" i="4"/>
  <c r="B4" i="4"/>
  <c r="C4" i="4"/>
  <c r="B3" i="4"/>
  <c r="G1168" i="7" l="1"/>
  <c r="N1168" i="7" s="1"/>
  <c r="F1168" i="7"/>
  <c r="E1167" i="6"/>
  <c r="F1167" i="6" s="1"/>
  <c r="G1167" i="6"/>
  <c r="H1167" i="6" s="1"/>
  <c r="B1165" i="6"/>
  <c r="O1166" i="7"/>
  <c r="P1167" i="7"/>
  <c r="Q1167" i="7" s="1"/>
  <c r="R1167" i="7" s="1"/>
  <c r="C1167" i="8" s="1"/>
  <c r="J1167" i="7"/>
  <c r="K1167" i="7" s="1"/>
  <c r="C1167" i="7"/>
  <c r="D1167" i="7"/>
  <c r="B1166" i="6"/>
  <c r="J1166" i="7"/>
  <c r="P1166" i="7"/>
  <c r="C1157" i="7"/>
  <c r="D1166" i="7"/>
  <c r="I1165" i="7"/>
  <c r="C1166" i="7"/>
  <c r="I1166" i="7"/>
  <c r="P1165" i="7"/>
  <c r="O1165" i="7"/>
  <c r="C1165" i="7"/>
  <c r="D1165" i="7"/>
  <c r="J1165" i="7"/>
  <c r="B1164" i="6"/>
  <c r="P1164" i="7"/>
  <c r="I1164" i="7"/>
  <c r="J1164" i="7"/>
  <c r="D1164" i="7"/>
  <c r="C1164" i="7"/>
  <c r="O1164" i="7"/>
  <c r="B1163" i="6"/>
  <c r="I1162" i="7"/>
  <c r="P1162" i="7"/>
  <c r="J1160" i="7"/>
  <c r="P1160" i="7"/>
  <c r="B1160" i="6"/>
  <c r="P1163" i="7"/>
  <c r="B1162" i="6"/>
  <c r="J1161" i="7"/>
  <c r="P1161" i="7"/>
  <c r="I1161" i="7"/>
  <c r="D1161" i="7"/>
  <c r="O1161" i="7"/>
  <c r="J1162" i="7"/>
  <c r="D1162" i="7"/>
  <c r="O1159" i="7"/>
  <c r="I1160" i="7"/>
  <c r="C1163" i="7"/>
  <c r="O1160" i="7"/>
  <c r="I1163" i="7"/>
  <c r="K1163" i="7" s="1"/>
  <c r="C1161" i="7"/>
  <c r="D1160" i="7"/>
  <c r="D1163" i="7"/>
  <c r="O1162" i="7"/>
  <c r="O1163" i="7"/>
  <c r="C1160" i="7"/>
  <c r="C1162" i="7"/>
  <c r="B1159" i="6"/>
  <c r="B1161" i="6"/>
  <c r="P1159" i="7"/>
  <c r="J1159" i="7"/>
  <c r="D1159" i="7"/>
  <c r="I1159" i="7"/>
  <c r="C1159" i="7"/>
  <c r="B1158" i="6"/>
  <c r="J1158" i="7"/>
  <c r="P1158" i="7"/>
  <c r="P1157" i="7"/>
  <c r="I1157" i="7"/>
  <c r="J1157" i="7"/>
  <c r="O1157" i="7"/>
  <c r="I1158" i="7"/>
  <c r="C1158" i="7"/>
  <c r="O1158" i="7"/>
  <c r="D1157" i="7"/>
  <c r="F1157" i="7" s="1"/>
  <c r="B1157" i="6"/>
  <c r="D1158" i="7"/>
  <c r="B1156" i="6"/>
  <c r="B1155" i="6"/>
  <c r="I1156" i="7"/>
  <c r="P1156" i="7"/>
  <c r="C1153" i="7"/>
  <c r="D1156" i="7"/>
  <c r="O1156" i="7"/>
  <c r="J1156" i="7"/>
  <c r="C1156" i="7"/>
  <c r="O1155" i="7"/>
  <c r="J1155" i="7"/>
  <c r="P1155" i="7"/>
  <c r="C1155" i="7"/>
  <c r="D1155" i="7"/>
  <c r="I1155" i="7"/>
  <c r="B1154" i="6"/>
  <c r="J1154" i="7"/>
  <c r="P1154" i="7"/>
  <c r="O1154" i="7"/>
  <c r="B1153" i="6"/>
  <c r="I1154" i="7"/>
  <c r="D1154" i="7"/>
  <c r="C1154" i="7"/>
  <c r="O1153" i="7"/>
  <c r="P1153" i="7"/>
  <c r="I1153" i="7"/>
  <c r="J1153" i="7"/>
  <c r="O1151" i="7"/>
  <c r="D1153" i="7"/>
  <c r="E1153" i="7" s="1"/>
  <c r="B1152" i="6"/>
  <c r="I1152" i="7"/>
  <c r="P1152" i="7"/>
  <c r="J1152" i="7"/>
  <c r="D1152" i="7"/>
  <c r="O1152" i="7"/>
  <c r="C1152" i="7"/>
  <c r="B1151" i="6"/>
  <c r="B1150" i="6"/>
  <c r="P1151" i="7"/>
  <c r="I1151" i="7"/>
  <c r="O1142" i="7"/>
  <c r="D1151" i="7"/>
  <c r="J1151" i="7"/>
  <c r="C1151" i="7"/>
  <c r="J1150" i="7"/>
  <c r="P1150" i="7"/>
  <c r="D1150" i="7"/>
  <c r="O1150" i="7"/>
  <c r="I1150" i="7"/>
  <c r="C1150" i="7"/>
  <c r="B1149" i="6"/>
  <c r="O1149" i="7"/>
  <c r="I1149" i="7"/>
  <c r="P1149" i="7"/>
  <c r="B1148" i="6"/>
  <c r="D1149" i="7"/>
  <c r="J1149" i="7"/>
  <c r="C1149" i="7"/>
  <c r="B1147" i="6"/>
  <c r="I1148" i="7"/>
  <c r="P1148" i="7"/>
  <c r="J1148" i="7"/>
  <c r="O1148" i="7"/>
  <c r="O1147" i="7"/>
  <c r="C1148" i="7"/>
  <c r="D1148" i="7"/>
  <c r="I1147" i="7"/>
  <c r="P1147" i="7"/>
  <c r="D1147" i="7"/>
  <c r="J1147" i="7"/>
  <c r="C1147" i="7"/>
  <c r="B1145" i="6"/>
  <c r="B1146" i="6"/>
  <c r="P1146" i="7"/>
  <c r="I1146" i="7"/>
  <c r="O1145" i="7"/>
  <c r="O1146" i="7"/>
  <c r="J1146" i="7"/>
  <c r="B1144" i="6"/>
  <c r="D1146" i="7"/>
  <c r="C1146" i="7"/>
  <c r="O1144" i="7"/>
  <c r="B1143" i="6"/>
  <c r="J1145" i="7"/>
  <c r="P1145" i="7"/>
  <c r="I1145" i="7"/>
  <c r="C1145" i="7"/>
  <c r="D1145" i="7"/>
  <c r="I1144" i="7"/>
  <c r="P1144" i="7"/>
  <c r="J1144" i="7"/>
  <c r="D1144" i="7"/>
  <c r="C1144" i="7"/>
  <c r="P1143" i="7"/>
  <c r="I1143" i="7"/>
  <c r="O1143" i="7"/>
  <c r="J1143" i="7"/>
  <c r="C1143" i="7"/>
  <c r="D1143" i="7"/>
  <c r="B1142" i="6"/>
  <c r="I1142" i="7"/>
  <c r="P1142" i="7"/>
  <c r="J1142" i="7"/>
  <c r="C1126" i="7"/>
  <c r="D1142" i="7"/>
  <c r="C1142" i="7"/>
  <c r="B1141" i="6"/>
  <c r="O1140" i="7"/>
  <c r="O1141" i="7"/>
  <c r="B1140" i="6"/>
  <c r="I1141" i="7"/>
  <c r="P1141" i="7"/>
  <c r="J1141" i="7"/>
  <c r="D1141" i="7"/>
  <c r="C1141" i="7"/>
  <c r="I1140" i="7"/>
  <c r="P1140" i="7"/>
  <c r="C1140" i="7"/>
  <c r="J1140" i="7"/>
  <c r="D1140" i="7"/>
  <c r="B1139" i="6"/>
  <c r="O1138" i="7"/>
  <c r="O1139" i="7"/>
  <c r="J1139" i="7"/>
  <c r="P1139" i="7"/>
  <c r="O1137" i="7"/>
  <c r="B1137" i="6"/>
  <c r="C1139" i="7"/>
  <c r="I1139" i="7"/>
  <c r="D1139" i="7"/>
  <c r="B1138" i="6"/>
  <c r="I1138" i="7"/>
  <c r="P1138" i="7"/>
  <c r="J1138" i="7"/>
  <c r="C1138" i="7"/>
  <c r="D1138" i="7"/>
  <c r="P1137" i="7"/>
  <c r="B1135" i="6"/>
  <c r="D1137" i="7"/>
  <c r="I1137" i="7"/>
  <c r="J1137" i="7"/>
  <c r="C1137" i="7"/>
  <c r="B1136" i="6"/>
  <c r="I1136" i="7"/>
  <c r="P1136" i="7"/>
  <c r="J1136" i="7"/>
  <c r="C1136" i="7"/>
  <c r="D1136" i="7"/>
  <c r="O1136" i="7"/>
  <c r="O1135" i="7"/>
  <c r="I1135" i="7"/>
  <c r="P1135" i="7"/>
  <c r="D1135" i="7"/>
  <c r="J1135" i="7"/>
  <c r="C1135" i="7"/>
  <c r="B1134" i="6"/>
  <c r="I1134" i="7"/>
  <c r="O1133" i="7"/>
  <c r="O1134" i="7"/>
  <c r="P1134" i="7"/>
  <c r="J1134" i="7"/>
  <c r="D1134" i="7"/>
  <c r="C1134" i="7"/>
  <c r="B1133" i="6"/>
  <c r="I1133" i="7"/>
  <c r="P1133" i="7"/>
  <c r="J1133" i="7"/>
  <c r="D1133" i="7"/>
  <c r="C1133" i="7"/>
  <c r="B1132" i="6"/>
  <c r="F705" i="7"/>
  <c r="F769" i="7"/>
  <c r="F577" i="7"/>
  <c r="F641" i="7"/>
  <c r="F961" i="7"/>
  <c r="O1131" i="7"/>
  <c r="F897" i="7"/>
  <c r="F833" i="7"/>
  <c r="F513" i="7"/>
  <c r="O1132" i="7"/>
  <c r="I1132" i="7"/>
  <c r="P1132" i="7"/>
  <c r="C1132" i="7"/>
  <c r="J1132" i="7"/>
  <c r="D1132" i="7"/>
  <c r="B1131" i="6"/>
  <c r="B1130" i="6"/>
  <c r="I1131" i="7"/>
  <c r="P1131" i="7"/>
  <c r="J1131" i="7"/>
  <c r="C1131" i="7"/>
  <c r="D1131" i="7"/>
  <c r="B1128" i="6"/>
  <c r="P1130" i="7"/>
  <c r="I1130" i="7"/>
  <c r="O1130" i="7"/>
  <c r="J1130" i="7"/>
  <c r="D1130" i="7"/>
  <c r="C1130" i="7"/>
  <c r="B1129" i="6"/>
  <c r="I1129" i="7"/>
  <c r="P1129" i="7"/>
  <c r="O1128" i="7"/>
  <c r="D1129" i="7"/>
  <c r="J1129" i="7"/>
  <c r="O1129" i="7"/>
  <c r="C1129" i="7"/>
  <c r="D1128" i="7"/>
  <c r="I1128" i="7"/>
  <c r="P1128" i="7"/>
  <c r="B1127" i="6"/>
  <c r="C1128" i="7"/>
  <c r="J1128" i="7"/>
  <c r="F545" i="7"/>
  <c r="F609" i="7"/>
  <c r="F673" i="7"/>
  <c r="F737" i="7"/>
  <c r="F801" i="7"/>
  <c r="F865" i="7"/>
  <c r="F929" i="7"/>
  <c r="I1127" i="7"/>
  <c r="P1127" i="7"/>
  <c r="J1127" i="7"/>
  <c r="D1127" i="7"/>
  <c r="O1125" i="7"/>
  <c r="O1127" i="7"/>
  <c r="O1126" i="7"/>
  <c r="C1127" i="7"/>
  <c r="B1126" i="6"/>
  <c r="J1126" i="7"/>
  <c r="P1126" i="7"/>
  <c r="D1126" i="7"/>
  <c r="E1126" i="7" s="1"/>
  <c r="I1126" i="7"/>
  <c r="B1125" i="6"/>
  <c r="I1125" i="7"/>
  <c r="P1125" i="7"/>
  <c r="J1125" i="7"/>
  <c r="C1120" i="7"/>
  <c r="D1125" i="7"/>
  <c r="B1124" i="6"/>
  <c r="C1125" i="7"/>
  <c r="I1124" i="7"/>
  <c r="P1124" i="7"/>
  <c r="B1123" i="6"/>
  <c r="J1124" i="7"/>
  <c r="D1124" i="7"/>
  <c r="C1124" i="7"/>
  <c r="O1124" i="7"/>
  <c r="O1123" i="7"/>
  <c r="O1121" i="7"/>
  <c r="O1122" i="7"/>
  <c r="I1123" i="7"/>
  <c r="P1123" i="7"/>
  <c r="B1122" i="6"/>
  <c r="J1123" i="7"/>
  <c r="C1123" i="7"/>
  <c r="D1123" i="7"/>
  <c r="F449" i="7"/>
  <c r="F411" i="7"/>
  <c r="F985" i="7"/>
  <c r="F1049" i="7"/>
  <c r="F483" i="7"/>
  <c r="F498" i="7"/>
  <c r="F562" i="7"/>
  <c r="F626" i="7"/>
  <c r="F690" i="7"/>
  <c r="F754" i="7"/>
  <c r="F818" i="7"/>
  <c r="F882" i="7"/>
  <c r="F946" i="7"/>
  <c r="F529" i="7"/>
  <c r="F593" i="7"/>
  <c r="F657" i="7"/>
  <c r="F721" i="7"/>
  <c r="F785" i="7"/>
  <c r="F849" i="7"/>
  <c r="F913" i="7"/>
  <c r="F977" i="7"/>
  <c r="F1034" i="7"/>
  <c r="F1098" i="7"/>
  <c r="F420" i="7"/>
  <c r="F485" i="7"/>
  <c r="F451" i="7"/>
  <c r="I1122" i="7"/>
  <c r="J1122" i="7"/>
  <c r="P1122" i="7"/>
  <c r="D1122" i="7"/>
  <c r="B1121" i="6"/>
  <c r="C1122" i="7"/>
  <c r="P1121" i="7"/>
  <c r="D1121" i="7"/>
  <c r="I1121" i="7"/>
  <c r="J1121" i="7"/>
  <c r="C1121" i="7"/>
  <c r="B1120" i="6"/>
  <c r="I1120" i="7"/>
  <c r="P1120" i="7"/>
  <c r="O1120" i="7"/>
  <c r="C1116" i="7"/>
  <c r="D1120" i="7"/>
  <c r="J1120" i="7"/>
  <c r="B1119" i="6"/>
  <c r="P1119" i="7"/>
  <c r="I1119" i="7"/>
  <c r="O1119" i="7"/>
  <c r="J1119" i="7"/>
  <c r="D1119" i="7"/>
  <c r="C1119" i="7"/>
  <c r="B1118" i="6"/>
  <c r="B1116" i="6"/>
  <c r="C1117" i="7"/>
  <c r="P1118" i="7"/>
  <c r="J1118" i="7"/>
  <c r="P1117" i="7"/>
  <c r="O1118" i="7"/>
  <c r="D1117" i="7"/>
  <c r="I1117" i="7"/>
  <c r="J1117" i="7"/>
  <c r="I1118" i="7"/>
  <c r="C1118" i="7"/>
  <c r="O1117" i="7"/>
  <c r="D1118" i="7"/>
  <c r="B1117" i="6"/>
  <c r="I1116" i="7"/>
  <c r="P1116" i="7"/>
  <c r="O1116" i="7"/>
  <c r="B1115" i="6"/>
  <c r="J1116" i="7"/>
  <c r="O1113" i="7"/>
  <c r="D1116" i="7"/>
  <c r="B1114" i="6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B1113" i="6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B1112" i="6"/>
  <c r="F412" i="7"/>
  <c r="F477" i="7"/>
  <c r="I1112" i="7"/>
  <c r="P1112" i="7"/>
  <c r="B1111" i="6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B1110" i="6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B1109" i="6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R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P1082" i="7"/>
  <c r="Q1082" i="7" s="1"/>
  <c r="P1074" i="7"/>
  <c r="Q1074" i="7" s="1"/>
  <c r="R1074" i="7" s="1"/>
  <c r="P1058" i="7"/>
  <c r="Q1058" i="7" s="1"/>
  <c r="P1090" i="7"/>
  <c r="Q1090" i="7" s="1"/>
  <c r="P1066" i="7"/>
  <c r="Q1066" i="7" s="1"/>
  <c r="P1050" i="7"/>
  <c r="Q1050" i="7" s="1"/>
  <c r="P1107" i="7"/>
  <c r="Q1107" i="7" s="1"/>
  <c r="F475" i="7"/>
  <c r="P1056" i="7"/>
  <c r="Q1056" i="7" s="1"/>
  <c r="F409" i="7"/>
  <c r="F530" i="7"/>
  <c r="F594" i="7"/>
  <c r="F658" i="7"/>
  <c r="F722" i="7"/>
  <c r="F786" i="7"/>
  <c r="F850" i="7"/>
  <c r="F914" i="7"/>
  <c r="F978" i="7"/>
  <c r="P1048" i="7"/>
  <c r="Q1048" i="7" s="1"/>
  <c r="F497" i="7"/>
  <c r="F561" i="7"/>
  <c r="F625" i="7"/>
  <c r="F689" i="7"/>
  <c r="F753" i="7"/>
  <c r="F817" i="7"/>
  <c r="F881" i="7"/>
  <c r="F945" i="7"/>
  <c r="J1107" i="7"/>
  <c r="P1064" i="7"/>
  <c r="Q1064" i="7" s="1"/>
  <c r="E1107" i="7"/>
  <c r="F1107" i="7"/>
  <c r="P1080" i="7"/>
  <c r="Q1080" i="7" s="1"/>
  <c r="F1050" i="7"/>
  <c r="I1107" i="7"/>
  <c r="P1092" i="7"/>
  <c r="Q1092" i="7" s="1"/>
  <c r="P1076" i="7"/>
  <c r="Q1076" i="7" s="1"/>
  <c r="P1060" i="7"/>
  <c r="Q1060" i="7" s="1"/>
  <c r="P1100" i="7"/>
  <c r="Q1100" i="7" s="1"/>
  <c r="P1084" i="7"/>
  <c r="Q1084" i="7" s="1"/>
  <c r="P1068" i="7"/>
  <c r="Q1068" i="7" s="1"/>
  <c r="P1052" i="7"/>
  <c r="Q1052" i="7" s="1"/>
  <c r="F484" i="7"/>
  <c r="F421" i="7"/>
  <c r="J1105" i="7"/>
  <c r="I1106" i="7"/>
  <c r="P1105" i="7"/>
  <c r="Q1105" i="7" s="1"/>
  <c r="R1105" i="7" s="1"/>
  <c r="P1106" i="7"/>
  <c r="Q1106" i="7" s="1"/>
  <c r="R1106" i="7" s="1"/>
  <c r="P1044" i="7"/>
  <c r="Q1044" i="7" s="1"/>
  <c r="J1103" i="7"/>
  <c r="I1103" i="7"/>
  <c r="P1028" i="7"/>
  <c r="Q1028" i="7" s="1"/>
  <c r="J1087" i="7"/>
  <c r="I1087" i="7"/>
  <c r="P1012" i="7"/>
  <c r="Q1012" i="7" s="1"/>
  <c r="J1071" i="7"/>
  <c r="I1071" i="7"/>
  <c r="P996" i="7"/>
  <c r="Q996" i="7" s="1"/>
  <c r="J1055" i="7"/>
  <c r="I1055" i="7"/>
  <c r="P980" i="7"/>
  <c r="Q980" i="7" s="1"/>
  <c r="J1039" i="7"/>
  <c r="I1039" i="7"/>
  <c r="P964" i="7"/>
  <c r="Q964" i="7" s="1"/>
  <c r="J1023" i="7"/>
  <c r="I1023" i="7"/>
  <c r="P948" i="7"/>
  <c r="Q948" i="7" s="1"/>
  <c r="J1007" i="7"/>
  <c r="I1007" i="7"/>
  <c r="P932" i="7"/>
  <c r="Q932" i="7" s="1"/>
  <c r="J991" i="7"/>
  <c r="I991" i="7"/>
  <c r="P916" i="7"/>
  <c r="Q916" i="7" s="1"/>
  <c r="J975" i="7"/>
  <c r="I975" i="7"/>
  <c r="P900" i="7"/>
  <c r="Q900" i="7" s="1"/>
  <c r="J959" i="7"/>
  <c r="I959" i="7"/>
  <c r="P884" i="7"/>
  <c r="Q884" i="7" s="1"/>
  <c r="J943" i="7"/>
  <c r="I943" i="7"/>
  <c r="P868" i="7"/>
  <c r="Q868" i="7" s="1"/>
  <c r="J927" i="7"/>
  <c r="I927" i="7"/>
  <c r="P852" i="7"/>
  <c r="Q852" i="7" s="1"/>
  <c r="R852" i="7" s="1"/>
  <c r="J911" i="7"/>
  <c r="I911" i="7"/>
  <c r="P836" i="7"/>
  <c r="Q836" i="7" s="1"/>
  <c r="J895" i="7"/>
  <c r="I895" i="7"/>
  <c r="P820" i="7"/>
  <c r="Q820" i="7" s="1"/>
  <c r="R820" i="7" s="1"/>
  <c r="J879" i="7"/>
  <c r="I879" i="7"/>
  <c r="P804" i="7"/>
  <c r="Q804" i="7" s="1"/>
  <c r="J863" i="7"/>
  <c r="I863" i="7"/>
  <c r="P788" i="7"/>
  <c r="Q788" i="7" s="1"/>
  <c r="R788" i="7" s="1"/>
  <c r="J847" i="7"/>
  <c r="I847" i="7"/>
  <c r="P772" i="7"/>
  <c r="Q772" i="7" s="1"/>
  <c r="J831" i="7"/>
  <c r="I831" i="7"/>
  <c r="P756" i="7"/>
  <c r="Q756" i="7" s="1"/>
  <c r="R756" i="7" s="1"/>
  <c r="J815" i="7"/>
  <c r="I815" i="7"/>
  <c r="P740" i="7"/>
  <c r="Q740" i="7" s="1"/>
  <c r="J799" i="7"/>
  <c r="I799" i="7"/>
  <c r="P724" i="7"/>
  <c r="Q724" i="7" s="1"/>
  <c r="R724" i="7" s="1"/>
  <c r="J783" i="7"/>
  <c r="I783" i="7"/>
  <c r="P708" i="7"/>
  <c r="Q708" i="7" s="1"/>
  <c r="J767" i="7"/>
  <c r="I767" i="7"/>
  <c r="P700" i="7"/>
  <c r="Q700" i="7" s="1"/>
  <c r="J759" i="7"/>
  <c r="I759" i="7"/>
  <c r="P684" i="7"/>
  <c r="Q684" i="7" s="1"/>
  <c r="J743" i="7"/>
  <c r="I743" i="7"/>
  <c r="P668" i="7"/>
  <c r="Q668" i="7" s="1"/>
  <c r="J727" i="7"/>
  <c r="I727" i="7"/>
  <c r="P652" i="7"/>
  <c r="Q652" i="7" s="1"/>
  <c r="J711" i="7"/>
  <c r="I711" i="7"/>
  <c r="P636" i="7"/>
  <c r="Q636" i="7" s="1"/>
  <c r="J695" i="7"/>
  <c r="I695" i="7"/>
  <c r="P620" i="7"/>
  <c r="Q620" i="7" s="1"/>
  <c r="J679" i="7"/>
  <c r="I679" i="7"/>
  <c r="P604" i="7"/>
  <c r="Q604" i="7" s="1"/>
  <c r="J663" i="7"/>
  <c r="I663" i="7"/>
  <c r="P588" i="7"/>
  <c r="Q588" i="7" s="1"/>
  <c r="J647" i="7"/>
  <c r="I647" i="7"/>
  <c r="P572" i="7"/>
  <c r="Q572" i="7" s="1"/>
  <c r="J631" i="7"/>
  <c r="I631" i="7"/>
  <c r="P556" i="7"/>
  <c r="Q556" i="7" s="1"/>
  <c r="R556" i="7" s="1"/>
  <c r="J615" i="7"/>
  <c r="I615" i="7"/>
  <c r="P540" i="7"/>
  <c r="Q540" i="7" s="1"/>
  <c r="J599" i="7"/>
  <c r="I599" i="7"/>
  <c r="P524" i="7"/>
  <c r="Q524" i="7" s="1"/>
  <c r="J583" i="7"/>
  <c r="I583" i="7"/>
  <c r="P508" i="7"/>
  <c r="Q508" i="7" s="1"/>
  <c r="J567" i="7"/>
  <c r="I567" i="7"/>
  <c r="P484" i="7"/>
  <c r="Q484" i="7" s="1"/>
  <c r="J543" i="7"/>
  <c r="I543" i="7"/>
  <c r="P468" i="7"/>
  <c r="Q468" i="7" s="1"/>
  <c r="R468" i="7" s="1"/>
  <c r="J527" i="7"/>
  <c r="I527" i="7"/>
  <c r="P452" i="7"/>
  <c r="Q452" i="7" s="1"/>
  <c r="J511" i="7"/>
  <c r="I511" i="7"/>
  <c r="P436" i="7"/>
  <c r="Q436" i="7" s="1"/>
  <c r="J495" i="7"/>
  <c r="I495" i="7"/>
  <c r="P420" i="7"/>
  <c r="Q420" i="7" s="1"/>
  <c r="J479" i="7"/>
  <c r="I479" i="7"/>
  <c r="P404" i="7"/>
  <c r="Q404" i="7" s="1"/>
  <c r="J463" i="7"/>
  <c r="I463" i="7"/>
  <c r="P388" i="7"/>
  <c r="Q388" i="7" s="1"/>
  <c r="J447" i="7"/>
  <c r="I447" i="7"/>
  <c r="P372" i="7"/>
  <c r="Q372" i="7" s="1"/>
  <c r="J431" i="7"/>
  <c r="I431" i="7"/>
  <c r="P356" i="7"/>
  <c r="Q356" i="7" s="1"/>
  <c r="J415" i="7"/>
  <c r="I415" i="7"/>
  <c r="P332" i="7"/>
  <c r="Q332" i="7" s="1"/>
  <c r="J391" i="7"/>
  <c r="I391" i="7"/>
  <c r="P316" i="7"/>
  <c r="Q316" i="7" s="1"/>
  <c r="J375" i="7"/>
  <c r="I375" i="7"/>
  <c r="P300" i="7"/>
  <c r="Q300" i="7" s="1"/>
  <c r="J359" i="7"/>
  <c r="I359" i="7"/>
  <c r="P284" i="7"/>
  <c r="Q284" i="7" s="1"/>
  <c r="J343" i="7"/>
  <c r="I343" i="7"/>
  <c r="P268" i="7"/>
  <c r="Q268" i="7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P1091" i="7"/>
  <c r="Q1091" i="7" s="1"/>
  <c r="P1083" i="7"/>
  <c r="Q1083" i="7" s="1"/>
  <c r="P1075" i="7"/>
  <c r="Q1075" i="7" s="1"/>
  <c r="P1067" i="7"/>
  <c r="Q1067" i="7" s="1"/>
  <c r="P1059" i="7"/>
  <c r="Q1059" i="7" s="1"/>
  <c r="P1051" i="7"/>
  <c r="Q1051" i="7" s="1"/>
  <c r="P1043" i="7"/>
  <c r="Q1043" i="7" s="1"/>
  <c r="J1102" i="7"/>
  <c r="I1102" i="7"/>
  <c r="P1035" i="7"/>
  <c r="Q1035" i="7" s="1"/>
  <c r="J1094" i="7"/>
  <c r="I1094" i="7"/>
  <c r="P1027" i="7"/>
  <c r="Q1027" i="7" s="1"/>
  <c r="J1086" i="7"/>
  <c r="I1086" i="7"/>
  <c r="P1019" i="7"/>
  <c r="Q1019" i="7" s="1"/>
  <c r="J1078" i="7"/>
  <c r="I1078" i="7"/>
  <c r="P1011" i="7"/>
  <c r="Q1011" i="7" s="1"/>
  <c r="J1070" i="7"/>
  <c r="I1070" i="7"/>
  <c r="P1003" i="7"/>
  <c r="Q1003" i="7" s="1"/>
  <c r="J1062" i="7"/>
  <c r="I1062" i="7"/>
  <c r="P995" i="7"/>
  <c r="Q995" i="7" s="1"/>
  <c r="J1054" i="7"/>
  <c r="I1054" i="7"/>
  <c r="P987" i="7"/>
  <c r="Q987" i="7" s="1"/>
  <c r="J1046" i="7"/>
  <c r="I1046" i="7"/>
  <c r="P979" i="7"/>
  <c r="Q979" i="7" s="1"/>
  <c r="J1038" i="7"/>
  <c r="I1038" i="7"/>
  <c r="P971" i="7"/>
  <c r="Q971" i="7" s="1"/>
  <c r="J1030" i="7"/>
  <c r="I1030" i="7"/>
  <c r="P963" i="7"/>
  <c r="Q963" i="7" s="1"/>
  <c r="J1022" i="7"/>
  <c r="I1022" i="7"/>
  <c r="P955" i="7"/>
  <c r="Q955" i="7" s="1"/>
  <c r="J1014" i="7"/>
  <c r="I1014" i="7"/>
  <c r="P947" i="7"/>
  <c r="Q947" i="7" s="1"/>
  <c r="J1006" i="7"/>
  <c r="I1006" i="7"/>
  <c r="P939" i="7"/>
  <c r="Q939" i="7" s="1"/>
  <c r="J998" i="7"/>
  <c r="I998" i="7"/>
  <c r="P931" i="7"/>
  <c r="Q931" i="7" s="1"/>
  <c r="J990" i="7"/>
  <c r="I990" i="7"/>
  <c r="P923" i="7"/>
  <c r="Q923" i="7" s="1"/>
  <c r="J982" i="7"/>
  <c r="I982" i="7"/>
  <c r="P915" i="7"/>
  <c r="Q915" i="7" s="1"/>
  <c r="J974" i="7"/>
  <c r="I974" i="7"/>
  <c r="P907" i="7"/>
  <c r="Q907" i="7" s="1"/>
  <c r="J966" i="7"/>
  <c r="I966" i="7"/>
  <c r="P899" i="7"/>
  <c r="Q899" i="7" s="1"/>
  <c r="J958" i="7"/>
  <c r="I958" i="7"/>
  <c r="P891" i="7"/>
  <c r="Q891" i="7" s="1"/>
  <c r="J950" i="7"/>
  <c r="I950" i="7"/>
  <c r="P883" i="7"/>
  <c r="Q883" i="7" s="1"/>
  <c r="J942" i="7"/>
  <c r="I942" i="7"/>
  <c r="P875" i="7"/>
  <c r="Q875" i="7" s="1"/>
  <c r="J934" i="7"/>
  <c r="I934" i="7"/>
  <c r="P867" i="7"/>
  <c r="Q867" i="7" s="1"/>
  <c r="J926" i="7"/>
  <c r="I926" i="7"/>
  <c r="P859" i="7"/>
  <c r="Q859" i="7" s="1"/>
  <c r="J918" i="7"/>
  <c r="I918" i="7"/>
  <c r="P851" i="7"/>
  <c r="Q851" i="7" s="1"/>
  <c r="J910" i="7"/>
  <c r="I910" i="7"/>
  <c r="P843" i="7"/>
  <c r="Q843" i="7" s="1"/>
  <c r="J902" i="7"/>
  <c r="I902" i="7"/>
  <c r="P835" i="7"/>
  <c r="Q835" i="7" s="1"/>
  <c r="J894" i="7"/>
  <c r="I894" i="7"/>
  <c r="P827" i="7"/>
  <c r="Q827" i="7" s="1"/>
  <c r="J886" i="7"/>
  <c r="I886" i="7"/>
  <c r="P819" i="7"/>
  <c r="Q819" i="7" s="1"/>
  <c r="J878" i="7"/>
  <c r="I878" i="7"/>
  <c r="P811" i="7"/>
  <c r="Q811" i="7" s="1"/>
  <c r="J870" i="7"/>
  <c r="I870" i="7"/>
  <c r="P803" i="7"/>
  <c r="Q803" i="7" s="1"/>
  <c r="J862" i="7"/>
  <c r="I862" i="7"/>
  <c r="P795" i="7"/>
  <c r="Q795" i="7" s="1"/>
  <c r="J854" i="7"/>
  <c r="I854" i="7"/>
  <c r="P787" i="7"/>
  <c r="Q787" i="7" s="1"/>
  <c r="J846" i="7"/>
  <c r="I846" i="7"/>
  <c r="P779" i="7"/>
  <c r="Q779" i="7" s="1"/>
  <c r="J838" i="7"/>
  <c r="I838" i="7"/>
  <c r="P771" i="7"/>
  <c r="Q771" i="7" s="1"/>
  <c r="J830" i="7"/>
  <c r="I830" i="7"/>
  <c r="P763" i="7"/>
  <c r="Q763" i="7" s="1"/>
  <c r="J822" i="7"/>
  <c r="I822" i="7"/>
  <c r="P755" i="7"/>
  <c r="Q755" i="7" s="1"/>
  <c r="J814" i="7"/>
  <c r="I814" i="7"/>
  <c r="P747" i="7"/>
  <c r="Q747" i="7" s="1"/>
  <c r="J806" i="7"/>
  <c r="I806" i="7"/>
  <c r="P739" i="7"/>
  <c r="Q739" i="7" s="1"/>
  <c r="J798" i="7"/>
  <c r="I798" i="7"/>
  <c r="P731" i="7"/>
  <c r="Q731" i="7" s="1"/>
  <c r="J790" i="7"/>
  <c r="I790" i="7"/>
  <c r="P723" i="7"/>
  <c r="Q723" i="7" s="1"/>
  <c r="J782" i="7"/>
  <c r="I782" i="7"/>
  <c r="P715" i="7"/>
  <c r="Q715" i="7" s="1"/>
  <c r="J774" i="7"/>
  <c r="I774" i="7"/>
  <c r="P707" i="7"/>
  <c r="Q707" i="7" s="1"/>
  <c r="J766" i="7"/>
  <c r="I766" i="7"/>
  <c r="P699" i="7"/>
  <c r="Q699" i="7" s="1"/>
  <c r="J758" i="7"/>
  <c r="I758" i="7"/>
  <c r="P691" i="7"/>
  <c r="Q691" i="7" s="1"/>
  <c r="J750" i="7"/>
  <c r="I750" i="7"/>
  <c r="P683" i="7"/>
  <c r="Q683" i="7" s="1"/>
  <c r="J742" i="7"/>
  <c r="I742" i="7"/>
  <c r="P675" i="7"/>
  <c r="Q675" i="7" s="1"/>
  <c r="J734" i="7"/>
  <c r="I734" i="7"/>
  <c r="P667" i="7"/>
  <c r="Q667" i="7" s="1"/>
  <c r="J726" i="7"/>
  <c r="I726" i="7"/>
  <c r="P659" i="7"/>
  <c r="Q659" i="7" s="1"/>
  <c r="J718" i="7"/>
  <c r="I718" i="7"/>
  <c r="P651" i="7"/>
  <c r="Q651" i="7" s="1"/>
  <c r="J710" i="7"/>
  <c r="I710" i="7"/>
  <c r="P643" i="7"/>
  <c r="Q643" i="7" s="1"/>
  <c r="J702" i="7"/>
  <c r="I702" i="7"/>
  <c r="P635" i="7"/>
  <c r="Q635" i="7" s="1"/>
  <c r="J694" i="7"/>
  <c r="I694" i="7"/>
  <c r="P627" i="7"/>
  <c r="Q627" i="7" s="1"/>
  <c r="J686" i="7"/>
  <c r="I686" i="7"/>
  <c r="P619" i="7"/>
  <c r="Q619" i="7" s="1"/>
  <c r="J678" i="7"/>
  <c r="I678" i="7"/>
  <c r="P611" i="7"/>
  <c r="Q611" i="7" s="1"/>
  <c r="J670" i="7"/>
  <c r="I670" i="7"/>
  <c r="P603" i="7"/>
  <c r="Q603" i="7" s="1"/>
  <c r="J662" i="7"/>
  <c r="I662" i="7"/>
  <c r="P595" i="7"/>
  <c r="Q595" i="7" s="1"/>
  <c r="J654" i="7"/>
  <c r="I654" i="7"/>
  <c r="P587" i="7"/>
  <c r="Q587" i="7" s="1"/>
  <c r="J646" i="7"/>
  <c r="I646" i="7"/>
  <c r="P579" i="7"/>
  <c r="Q579" i="7" s="1"/>
  <c r="J638" i="7"/>
  <c r="I638" i="7"/>
  <c r="P571" i="7"/>
  <c r="Q571" i="7" s="1"/>
  <c r="J630" i="7"/>
  <c r="I630" i="7"/>
  <c r="P563" i="7"/>
  <c r="Q563" i="7" s="1"/>
  <c r="J622" i="7"/>
  <c r="I622" i="7"/>
  <c r="P555" i="7"/>
  <c r="Q555" i="7" s="1"/>
  <c r="J614" i="7"/>
  <c r="I614" i="7"/>
  <c r="P547" i="7"/>
  <c r="Q547" i="7" s="1"/>
  <c r="J606" i="7"/>
  <c r="I606" i="7"/>
  <c r="P539" i="7"/>
  <c r="Q539" i="7" s="1"/>
  <c r="J598" i="7"/>
  <c r="I598" i="7"/>
  <c r="P531" i="7"/>
  <c r="Q531" i="7" s="1"/>
  <c r="J590" i="7"/>
  <c r="I590" i="7"/>
  <c r="P523" i="7"/>
  <c r="Q523" i="7" s="1"/>
  <c r="J582" i="7"/>
  <c r="I582" i="7"/>
  <c r="P515" i="7"/>
  <c r="Q515" i="7" s="1"/>
  <c r="J574" i="7"/>
  <c r="I574" i="7"/>
  <c r="P507" i="7"/>
  <c r="Q507" i="7" s="1"/>
  <c r="J566" i="7"/>
  <c r="I566" i="7"/>
  <c r="P499" i="7"/>
  <c r="Q499" i="7" s="1"/>
  <c r="J558" i="7"/>
  <c r="I558" i="7"/>
  <c r="P491" i="7"/>
  <c r="Q491" i="7" s="1"/>
  <c r="J550" i="7"/>
  <c r="I550" i="7"/>
  <c r="P483" i="7"/>
  <c r="Q483" i="7" s="1"/>
  <c r="J542" i="7"/>
  <c r="I542" i="7"/>
  <c r="P475" i="7"/>
  <c r="Q475" i="7" s="1"/>
  <c r="J534" i="7"/>
  <c r="I534" i="7"/>
  <c r="P467" i="7"/>
  <c r="Q467" i="7" s="1"/>
  <c r="J526" i="7"/>
  <c r="I526" i="7"/>
  <c r="P459" i="7"/>
  <c r="Q459" i="7" s="1"/>
  <c r="J518" i="7"/>
  <c r="I518" i="7"/>
  <c r="P451" i="7"/>
  <c r="Q451" i="7" s="1"/>
  <c r="J510" i="7"/>
  <c r="I510" i="7"/>
  <c r="P443" i="7"/>
  <c r="Q443" i="7" s="1"/>
  <c r="J502" i="7"/>
  <c r="I502" i="7"/>
  <c r="P435" i="7"/>
  <c r="Q435" i="7" s="1"/>
  <c r="J494" i="7"/>
  <c r="I494" i="7"/>
  <c r="P427" i="7"/>
  <c r="Q427" i="7" s="1"/>
  <c r="J486" i="7"/>
  <c r="I486" i="7"/>
  <c r="P419" i="7"/>
  <c r="Q419" i="7" s="1"/>
  <c r="J478" i="7"/>
  <c r="I478" i="7"/>
  <c r="P411" i="7"/>
  <c r="Q411" i="7" s="1"/>
  <c r="J470" i="7"/>
  <c r="I470" i="7"/>
  <c r="P403" i="7"/>
  <c r="Q403" i="7" s="1"/>
  <c r="J462" i="7"/>
  <c r="I462" i="7"/>
  <c r="P395" i="7"/>
  <c r="Q395" i="7" s="1"/>
  <c r="J454" i="7"/>
  <c r="I454" i="7"/>
  <c r="P387" i="7"/>
  <c r="Q387" i="7" s="1"/>
  <c r="J446" i="7"/>
  <c r="I446" i="7"/>
  <c r="P379" i="7"/>
  <c r="Q379" i="7" s="1"/>
  <c r="J438" i="7"/>
  <c r="I438" i="7"/>
  <c r="P371" i="7"/>
  <c r="Q371" i="7" s="1"/>
  <c r="J430" i="7"/>
  <c r="I430" i="7"/>
  <c r="P363" i="7"/>
  <c r="Q363" i="7" s="1"/>
  <c r="J422" i="7"/>
  <c r="I422" i="7"/>
  <c r="P355" i="7"/>
  <c r="Q355" i="7" s="1"/>
  <c r="J414" i="7"/>
  <c r="I414" i="7"/>
  <c r="P347" i="7"/>
  <c r="Q347" i="7" s="1"/>
  <c r="J406" i="7"/>
  <c r="I406" i="7"/>
  <c r="P339" i="7"/>
  <c r="Q339" i="7" s="1"/>
  <c r="J398" i="7"/>
  <c r="I398" i="7"/>
  <c r="P331" i="7"/>
  <c r="Q331" i="7" s="1"/>
  <c r="J390" i="7"/>
  <c r="I390" i="7"/>
  <c r="P323" i="7"/>
  <c r="Q323" i="7" s="1"/>
  <c r="J382" i="7"/>
  <c r="I382" i="7"/>
  <c r="P315" i="7"/>
  <c r="Q315" i="7" s="1"/>
  <c r="J374" i="7"/>
  <c r="I374" i="7"/>
  <c r="P307" i="7"/>
  <c r="Q307" i="7" s="1"/>
  <c r="J366" i="7"/>
  <c r="I366" i="7"/>
  <c r="P299" i="7"/>
  <c r="Q299" i="7" s="1"/>
  <c r="J358" i="7"/>
  <c r="I358" i="7"/>
  <c r="P291" i="7"/>
  <c r="Q291" i="7" s="1"/>
  <c r="J350" i="7"/>
  <c r="I350" i="7"/>
  <c r="P283" i="7"/>
  <c r="Q283" i="7" s="1"/>
  <c r="J342" i="7"/>
  <c r="I342" i="7"/>
  <c r="P275" i="7"/>
  <c r="Q275" i="7" s="1"/>
  <c r="J334" i="7"/>
  <c r="I334" i="7"/>
  <c r="P267" i="7"/>
  <c r="Q267" i="7" s="1"/>
  <c r="J326" i="7"/>
  <c r="I326" i="7"/>
  <c r="P259" i="7"/>
  <c r="Q259" i="7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G762" i="7" s="1"/>
  <c r="E794" i="7"/>
  <c r="E826" i="7"/>
  <c r="E858" i="7"/>
  <c r="E890" i="7"/>
  <c r="E922" i="7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E1081" i="7"/>
  <c r="E1065" i="7"/>
  <c r="E409" i="7"/>
  <c r="E449" i="7"/>
  <c r="E497" i="7"/>
  <c r="E529" i="7"/>
  <c r="E561" i="7"/>
  <c r="E593" i="7"/>
  <c r="E625" i="7"/>
  <c r="E657" i="7"/>
  <c r="E737" i="7"/>
  <c r="E769" i="7"/>
  <c r="E801" i="7"/>
  <c r="E833" i="7"/>
  <c r="E961" i="7"/>
  <c r="J63" i="7"/>
  <c r="I63" i="7"/>
  <c r="P1042" i="7"/>
  <c r="Q1042" i="7" s="1"/>
  <c r="J1101" i="7"/>
  <c r="I1101" i="7"/>
  <c r="P1026" i="7"/>
  <c r="Q1026" i="7" s="1"/>
  <c r="J1085" i="7"/>
  <c r="I1085" i="7"/>
  <c r="P1010" i="7"/>
  <c r="Q1010" i="7" s="1"/>
  <c r="J1069" i="7"/>
  <c r="I1069" i="7"/>
  <c r="P994" i="7"/>
  <c r="Q994" i="7" s="1"/>
  <c r="J1053" i="7"/>
  <c r="I1053" i="7"/>
  <c r="P970" i="7"/>
  <c r="Q970" i="7" s="1"/>
  <c r="J1029" i="7"/>
  <c r="I1029" i="7"/>
  <c r="P954" i="7"/>
  <c r="Q954" i="7" s="1"/>
  <c r="J1013" i="7"/>
  <c r="I1013" i="7"/>
  <c r="P938" i="7"/>
  <c r="Q938" i="7" s="1"/>
  <c r="J997" i="7"/>
  <c r="I997" i="7"/>
  <c r="P922" i="7"/>
  <c r="Q922" i="7" s="1"/>
  <c r="J981" i="7"/>
  <c r="I981" i="7"/>
  <c r="P906" i="7"/>
  <c r="Q906" i="7" s="1"/>
  <c r="J965" i="7"/>
  <c r="I965" i="7"/>
  <c r="P890" i="7"/>
  <c r="Q890" i="7" s="1"/>
  <c r="J949" i="7"/>
  <c r="I949" i="7"/>
  <c r="P874" i="7"/>
  <c r="Q874" i="7" s="1"/>
  <c r="J933" i="7"/>
  <c r="I933" i="7"/>
  <c r="P858" i="7"/>
  <c r="Q858" i="7" s="1"/>
  <c r="J917" i="7"/>
  <c r="I917" i="7"/>
  <c r="P842" i="7"/>
  <c r="Q842" i="7" s="1"/>
  <c r="J901" i="7"/>
  <c r="I901" i="7"/>
  <c r="P818" i="7"/>
  <c r="Q818" i="7" s="1"/>
  <c r="J877" i="7"/>
  <c r="I877" i="7"/>
  <c r="P802" i="7"/>
  <c r="Q802" i="7" s="1"/>
  <c r="J861" i="7"/>
  <c r="I861" i="7"/>
  <c r="P786" i="7"/>
  <c r="Q786" i="7" s="1"/>
  <c r="J845" i="7"/>
  <c r="I845" i="7"/>
  <c r="P770" i="7"/>
  <c r="Q770" i="7" s="1"/>
  <c r="J829" i="7"/>
  <c r="I829" i="7"/>
  <c r="P754" i="7"/>
  <c r="Q754" i="7" s="1"/>
  <c r="J813" i="7"/>
  <c r="I813" i="7"/>
  <c r="P738" i="7"/>
  <c r="Q738" i="7" s="1"/>
  <c r="J797" i="7"/>
  <c r="I797" i="7"/>
  <c r="P722" i="7"/>
  <c r="Q722" i="7" s="1"/>
  <c r="J781" i="7"/>
  <c r="I781" i="7"/>
  <c r="P706" i="7"/>
  <c r="Q706" i="7" s="1"/>
  <c r="J765" i="7"/>
  <c r="I765" i="7"/>
  <c r="P690" i="7"/>
  <c r="Q690" i="7" s="1"/>
  <c r="J749" i="7"/>
  <c r="I749" i="7"/>
  <c r="P674" i="7"/>
  <c r="Q674" i="7" s="1"/>
  <c r="J733" i="7"/>
  <c r="I733" i="7"/>
  <c r="P658" i="7"/>
  <c r="Q658" i="7" s="1"/>
  <c r="J717" i="7"/>
  <c r="I717" i="7"/>
  <c r="P642" i="7"/>
  <c r="Q642" i="7" s="1"/>
  <c r="J701" i="7"/>
  <c r="I701" i="7"/>
  <c r="P626" i="7"/>
  <c r="Q626" i="7" s="1"/>
  <c r="J685" i="7"/>
  <c r="I685" i="7"/>
  <c r="P610" i="7"/>
  <c r="Q610" i="7" s="1"/>
  <c r="J669" i="7"/>
  <c r="I669" i="7"/>
  <c r="P594" i="7"/>
  <c r="Q594" i="7" s="1"/>
  <c r="J653" i="7"/>
  <c r="I653" i="7"/>
  <c r="P578" i="7"/>
  <c r="Q578" i="7" s="1"/>
  <c r="J637" i="7"/>
  <c r="I637" i="7"/>
  <c r="P562" i="7"/>
  <c r="Q562" i="7" s="1"/>
  <c r="J621" i="7"/>
  <c r="I621" i="7"/>
  <c r="P546" i="7"/>
  <c r="Q546" i="7" s="1"/>
  <c r="J605" i="7"/>
  <c r="I605" i="7"/>
  <c r="P530" i="7"/>
  <c r="Q530" i="7" s="1"/>
  <c r="J589" i="7"/>
  <c r="I589" i="7"/>
  <c r="P514" i="7"/>
  <c r="Q514" i="7" s="1"/>
  <c r="J573" i="7"/>
  <c r="I573" i="7"/>
  <c r="P498" i="7"/>
  <c r="Q498" i="7" s="1"/>
  <c r="J557" i="7"/>
  <c r="I557" i="7"/>
  <c r="P482" i="7"/>
  <c r="Q482" i="7" s="1"/>
  <c r="J541" i="7"/>
  <c r="I541" i="7"/>
  <c r="P466" i="7"/>
  <c r="Q466" i="7" s="1"/>
  <c r="J525" i="7"/>
  <c r="I525" i="7"/>
  <c r="P450" i="7"/>
  <c r="Q450" i="7" s="1"/>
  <c r="J509" i="7"/>
  <c r="I509" i="7"/>
  <c r="P434" i="7"/>
  <c r="Q434" i="7" s="1"/>
  <c r="J493" i="7"/>
  <c r="I493" i="7"/>
  <c r="P418" i="7"/>
  <c r="Q418" i="7" s="1"/>
  <c r="J477" i="7"/>
  <c r="I477" i="7"/>
  <c r="P402" i="7"/>
  <c r="Q402" i="7" s="1"/>
  <c r="J461" i="7"/>
  <c r="I461" i="7"/>
  <c r="P386" i="7"/>
  <c r="Q386" i="7" s="1"/>
  <c r="J445" i="7"/>
  <c r="I445" i="7"/>
  <c r="P370" i="7"/>
  <c r="Q370" i="7" s="1"/>
  <c r="J429" i="7"/>
  <c r="I429" i="7"/>
  <c r="P354" i="7"/>
  <c r="Q354" i="7" s="1"/>
  <c r="J413" i="7"/>
  <c r="I413" i="7"/>
  <c r="P338" i="7"/>
  <c r="Q338" i="7" s="1"/>
  <c r="J397" i="7"/>
  <c r="I397" i="7"/>
  <c r="P322" i="7"/>
  <c r="Q322" i="7" s="1"/>
  <c r="J381" i="7"/>
  <c r="I381" i="7"/>
  <c r="P306" i="7"/>
  <c r="Q306" i="7" s="1"/>
  <c r="J365" i="7"/>
  <c r="I365" i="7"/>
  <c r="P290" i="7"/>
  <c r="Q290" i="7" s="1"/>
  <c r="J349" i="7"/>
  <c r="I349" i="7"/>
  <c r="P274" i="7"/>
  <c r="Q274" i="7" s="1"/>
  <c r="J333" i="7"/>
  <c r="I333" i="7"/>
  <c r="P258" i="7"/>
  <c r="Q258" i="7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J1093" i="7"/>
  <c r="I1093" i="7"/>
  <c r="P1018" i="7"/>
  <c r="Q1018" i="7" s="1"/>
  <c r="J1077" i="7"/>
  <c r="I1077" i="7"/>
  <c r="P1002" i="7"/>
  <c r="Q1002" i="7" s="1"/>
  <c r="J1061" i="7"/>
  <c r="I1061" i="7"/>
  <c r="P986" i="7"/>
  <c r="Q986" i="7" s="1"/>
  <c r="J1045" i="7"/>
  <c r="I1045" i="7"/>
  <c r="P978" i="7"/>
  <c r="Q978" i="7" s="1"/>
  <c r="J1037" i="7"/>
  <c r="I1037" i="7"/>
  <c r="P962" i="7"/>
  <c r="Q962" i="7" s="1"/>
  <c r="J1021" i="7"/>
  <c r="I1021" i="7"/>
  <c r="P946" i="7"/>
  <c r="Q946" i="7" s="1"/>
  <c r="J1005" i="7"/>
  <c r="I1005" i="7"/>
  <c r="P930" i="7"/>
  <c r="Q930" i="7" s="1"/>
  <c r="J989" i="7"/>
  <c r="I989" i="7"/>
  <c r="P914" i="7"/>
  <c r="Q914" i="7" s="1"/>
  <c r="J973" i="7"/>
  <c r="I973" i="7"/>
  <c r="P898" i="7"/>
  <c r="Q898" i="7" s="1"/>
  <c r="J957" i="7"/>
  <c r="I957" i="7"/>
  <c r="P882" i="7"/>
  <c r="Q882" i="7" s="1"/>
  <c r="J941" i="7"/>
  <c r="I941" i="7"/>
  <c r="P866" i="7"/>
  <c r="Q866" i="7" s="1"/>
  <c r="J925" i="7"/>
  <c r="I925" i="7"/>
  <c r="P850" i="7"/>
  <c r="Q850" i="7" s="1"/>
  <c r="J909" i="7"/>
  <c r="I909" i="7"/>
  <c r="P834" i="7"/>
  <c r="Q834" i="7" s="1"/>
  <c r="J893" i="7"/>
  <c r="I893" i="7"/>
  <c r="P826" i="7"/>
  <c r="Q826" i="7" s="1"/>
  <c r="J885" i="7"/>
  <c r="I885" i="7"/>
  <c r="P810" i="7"/>
  <c r="Q810" i="7" s="1"/>
  <c r="J869" i="7"/>
  <c r="I869" i="7"/>
  <c r="P794" i="7"/>
  <c r="Q794" i="7" s="1"/>
  <c r="J853" i="7"/>
  <c r="I853" i="7"/>
  <c r="P778" i="7"/>
  <c r="Q778" i="7" s="1"/>
  <c r="J837" i="7"/>
  <c r="I837" i="7"/>
  <c r="P762" i="7"/>
  <c r="Q762" i="7" s="1"/>
  <c r="J821" i="7"/>
  <c r="I821" i="7"/>
  <c r="P746" i="7"/>
  <c r="Q746" i="7" s="1"/>
  <c r="J805" i="7"/>
  <c r="I805" i="7"/>
  <c r="P730" i="7"/>
  <c r="Q730" i="7" s="1"/>
  <c r="J789" i="7"/>
  <c r="I789" i="7"/>
  <c r="P714" i="7"/>
  <c r="Q714" i="7" s="1"/>
  <c r="J773" i="7"/>
  <c r="I773" i="7"/>
  <c r="P698" i="7"/>
  <c r="Q698" i="7" s="1"/>
  <c r="J757" i="7"/>
  <c r="I757" i="7"/>
  <c r="P682" i="7"/>
  <c r="Q682" i="7" s="1"/>
  <c r="J741" i="7"/>
  <c r="I741" i="7"/>
  <c r="P666" i="7"/>
  <c r="Q666" i="7" s="1"/>
  <c r="J725" i="7"/>
  <c r="I725" i="7"/>
  <c r="P650" i="7"/>
  <c r="Q650" i="7" s="1"/>
  <c r="J709" i="7"/>
  <c r="I709" i="7"/>
  <c r="P634" i="7"/>
  <c r="Q634" i="7" s="1"/>
  <c r="J693" i="7"/>
  <c r="I693" i="7"/>
  <c r="P618" i="7"/>
  <c r="Q618" i="7" s="1"/>
  <c r="J677" i="7"/>
  <c r="I677" i="7"/>
  <c r="P602" i="7"/>
  <c r="Q602" i="7" s="1"/>
  <c r="J661" i="7"/>
  <c r="I661" i="7"/>
  <c r="P586" i="7"/>
  <c r="Q586" i="7" s="1"/>
  <c r="J645" i="7"/>
  <c r="I645" i="7"/>
  <c r="P570" i="7"/>
  <c r="Q570" i="7" s="1"/>
  <c r="J629" i="7"/>
  <c r="I629" i="7"/>
  <c r="P554" i="7"/>
  <c r="Q554" i="7" s="1"/>
  <c r="J613" i="7"/>
  <c r="I613" i="7"/>
  <c r="P538" i="7"/>
  <c r="Q538" i="7" s="1"/>
  <c r="J597" i="7"/>
  <c r="I597" i="7"/>
  <c r="P522" i="7"/>
  <c r="Q522" i="7" s="1"/>
  <c r="J581" i="7"/>
  <c r="I581" i="7"/>
  <c r="P506" i="7"/>
  <c r="Q506" i="7" s="1"/>
  <c r="J565" i="7"/>
  <c r="I565" i="7"/>
  <c r="P490" i="7"/>
  <c r="Q490" i="7" s="1"/>
  <c r="J549" i="7"/>
  <c r="I549" i="7"/>
  <c r="P474" i="7"/>
  <c r="Q474" i="7" s="1"/>
  <c r="J533" i="7"/>
  <c r="I533" i="7"/>
  <c r="P458" i="7"/>
  <c r="Q458" i="7" s="1"/>
  <c r="J517" i="7"/>
  <c r="I517" i="7"/>
  <c r="P442" i="7"/>
  <c r="Q442" i="7" s="1"/>
  <c r="J501" i="7"/>
  <c r="I501" i="7"/>
  <c r="P426" i="7"/>
  <c r="Q426" i="7" s="1"/>
  <c r="J485" i="7"/>
  <c r="I485" i="7"/>
  <c r="P410" i="7"/>
  <c r="Q410" i="7" s="1"/>
  <c r="J469" i="7"/>
  <c r="I469" i="7"/>
  <c r="P394" i="7"/>
  <c r="Q394" i="7" s="1"/>
  <c r="J453" i="7"/>
  <c r="I453" i="7"/>
  <c r="P378" i="7"/>
  <c r="Q378" i="7" s="1"/>
  <c r="J437" i="7"/>
  <c r="I437" i="7"/>
  <c r="P362" i="7"/>
  <c r="Q362" i="7" s="1"/>
  <c r="J421" i="7"/>
  <c r="I421" i="7"/>
  <c r="P346" i="7"/>
  <c r="Q346" i="7" s="1"/>
  <c r="J405" i="7"/>
  <c r="I405" i="7"/>
  <c r="P330" i="7"/>
  <c r="Q330" i="7" s="1"/>
  <c r="J389" i="7"/>
  <c r="I389" i="7"/>
  <c r="P314" i="7"/>
  <c r="Q314" i="7" s="1"/>
  <c r="J373" i="7"/>
  <c r="I373" i="7"/>
  <c r="P298" i="7"/>
  <c r="Q298" i="7" s="1"/>
  <c r="J357" i="7"/>
  <c r="I357" i="7"/>
  <c r="P282" i="7"/>
  <c r="Q282" i="7" s="1"/>
  <c r="J341" i="7"/>
  <c r="I341" i="7"/>
  <c r="P266" i="7"/>
  <c r="Q266" i="7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P1089" i="7"/>
  <c r="Q1089" i="7" s="1"/>
  <c r="P1081" i="7"/>
  <c r="Q1081" i="7" s="1"/>
  <c r="P1073" i="7"/>
  <c r="Q1073" i="7" s="1"/>
  <c r="P1065" i="7"/>
  <c r="Q1065" i="7" s="1"/>
  <c r="P1057" i="7"/>
  <c r="Q1057" i="7" s="1"/>
  <c r="P1049" i="7"/>
  <c r="Q1049" i="7" s="1"/>
  <c r="P1041" i="7"/>
  <c r="Q1041" i="7" s="1"/>
  <c r="J1100" i="7"/>
  <c r="I1100" i="7"/>
  <c r="P1033" i="7"/>
  <c r="Q1033" i="7" s="1"/>
  <c r="J1092" i="7"/>
  <c r="I1092" i="7"/>
  <c r="P1025" i="7"/>
  <c r="Q1025" i="7" s="1"/>
  <c r="J1084" i="7"/>
  <c r="I1084" i="7"/>
  <c r="P1017" i="7"/>
  <c r="Q1017" i="7" s="1"/>
  <c r="J1076" i="7"/>
  <c r="I1076" i="7"/>
  <c r="P1009" i="7"/>
  <c r="Q1009" i="7" s="1"/>
  <c r="J1068" i="7"/>
  <c r="I1068" i="7"/>
  <c r="P1001" i="7"/>
  <c r="Q1001" i="7" s="1"/>
  <c r="J1060" i="7"/>
  <c r="I1060" i="7"/>
  <c r="P993" i="7"/>
  <c r="Q993" i="7" s="1"/>
  <c r="J1052" i="7"/>
  <c r="I1052" i="7"/>
  <c r="P985" i="7"/>
  <c r="Q985" i="7" s="1"/>
  <c r="J1044" i="7"/>
  <c r="I1044" i="7"/>
  <c r="P977" i="7"/>
  <c r="Q977" i="7" s="1"/>
  <c r="J1036" i="7"/>
  <c r="I1036" i="7"/>
  <c r="P969" i="7"/>
  <c r="Q969" i="7" s="1"/>
  <c r="J1028" i="7"/>
  <c r="I1028" i="7"/>
  <c r="P961" i="7"/>
  <c r="Q961" i="7" s="1"/>
  <c r="J1020" i="7"/>
  <c r="I1020" i="7"/>
  <c r="P953" i="7"/>
  <c r="Q953" i="7" s="1"/>
  <c r="J1012" i="7"/>
  <c r="I1012" i="7"/>
  <c r="P945" i="7"/>
  <c r="Q945" i="7" s="1"/>
  <c r="J1004" i="7"/>
  <c r="I1004" i="7"/>
  <c r="P937" i="7"/>
  <c r="Q937" i="7" s="1"/>
  <c r="J996" i="7"/>
  <c r="I996" i="7"/>
  <c r="P929" i="7"/>
  <c r="Q929" i="7" s="1"/>
  <c r="J988" i="7"/>
  <c r="I988" i="7"/>
  <c r="P921" i="7"/>
  <c r="Q921" i="7" s="1"/>
  <c r="J980" i="7"/>
  <c r="I980" i="7"/>
  <c r="P913" i="7"/>
  <c r="Q913" i="7" s="1"/>
  <c r="J972" i="7"/>
  <c r="I972" i="7"/>
  <c r="P905" i="7"/>
  <c r="Q905" i="7" s="1"/>
  <c r="J964" i="7"/>
  <c r="I964" i="7"/>
  <c r="P897" i="7"/>
  <c r="Q897" i="7" s="1"/>
  <c r="J956" i="7"/>
  <c r="I956" i="7"/>
  <c r="P889" i="7"/>
  <c r="Q889" i="7" s="1"/>
  <c r="J948" i="7"/>
  <c r="I948" i="7"/>
  <c r="P881" i="7"/>
  <c r="Q881" i="7" s="1"/>
  <c r="J940" i="7"/>
  <c r="I940" i="7"/>
  <c r="P873" i="7"/>
  <c r="Q873" i="7" s="1"/>
  <c r="J932" i="7"/>
  <c r="I932" i="7"/>
  <c r="P865" i="7"/>
  <c r="Q865" i="7" s="1"/>
  <c r="J924" i="7"/>
  <c r="I924" i="7"/>
  <c r="P857" i="7"/>
  <c r="Q857" i="7" s="1"/>
  <c r="J916" i="7"/>
  <c r="I916" i="7"/>
  <c r="P849" i="7"/>
  <c r="Q849" i="7" s="1"/>
  <c r="J908" i="7"/>
  <c r="I908" i="7"/>
  <c r="P841" i="7"/>
  <c r="Q841" i="7" s="1"/>
  <c r="J900" i="7"/>
  <c r="I900" i="7"/>
  <c r="P833" i="7"/>
  <c r="Q833" i="7" s="1"/>
  <c r="J892" i="7"/>
  <c r="I892" i="7"/>
  <c r="P825" i="7"/>
  <c r="Q825" i="7" s="1"/>
  <c r="J884" i="7"/>
  <c r="I884" i="7"/>
  <c r="P817" i="7"/>
  <c r="Q817" i="7" s="1"/>
  <c r="J876" i="7"/>
  <c r="I876" i="7"/>
  <c r="P809" i="7"/>
  <c r="Q809" i="7" s="1"/>
  <c r="J868" i="7"/>
  <c r="I868" i="7"/>
  <c r="P801" i="7"/>
  <c r="Q801" i="7" s="1"/>
  <c r="J860" i="7"/>
  <c r="I860" i="7"/>
  <c r="P793" i="7"/>
  <c r="Q793" i="7" s="1"/>
  <c r="J852" i="7"/>
  <c r="I852" i="7"/>
  <c r="P785" i="7"/>
  <c r="Q785" i="7" s="1"/>
  <c r="J844" i="7"/>
  <c r="I844" i="7"/>
  <c r="P777" i="7"/>
  <c r="Q777" i="7" s="1"/>
  <c r="J836" i="7"/>
  <c r="I836" i="7"/>
  <c r="P769" i="7"/>
  <c r="Q769" i="7" s="1"/>
  <c r="J828" i="7"/>
  <c r="I828" i="7"/>
  <c r="P761" i="7"/>
  <c r="Q761" i="7" s="1"/>
  <c r="J820" i="7"/>
  <c r="I820" i="7"/>
  <c r="P753" i="7"/>
  <c r="Q753" i="7" s="1"/>
  <c r="J812" i="7"/>
  <c r="I812" i="7"/>
  <c r="P745" i="7"/>
  <c r="Q745" i="7" s="1"/>
  <c r="J804" i="7"/>
  <c r="I804" i="7"/>
  <c r="P737" i="7"/>
  <c r="Q737" i="7" s="1"/>
  <c r="J796" i="7"/>
  <c r="I796" i="7"/>
  <c r="P729" i="7"/>
  <c r="Q729" i="7" s="1"/>
  <c r="J788" i="7"/>
  <c r="I788" i="7"/>
  <c r="P721" i="7"/>
  <c r="Q721" i="7" s="1"/>
  <c r="J780" i="7"/>
  <c r="I780" i="7"/>
  <c r="P713" i="7"/>
  <c r="Q713" i="7" s="1"/>
  <c r="J772" i="7"/>
  <c r="I772" i="7"/>
  <c r="P705" i="7"/>
  <c r="Q705" i="7" s="1"/>
  <c r="J764" i="7"/>
  <c r="I764" i="7"/>
  <c r="P697" i="7"/>
  <c r="Q697" i="7" s="1"/>
  <c r="J756" i="7"/>
  <c r="I756" i="7"/>
  <c r="P689" i="7"/>
  <c r="Q689" i="7" s="1"/>
  <c r="J748" i="7"/>
  <c r="I748" i="7"/>
  <c r="P681" i="7"/>
  <c r="Q681" i="7" s="1"/>
  <c r="J740" i="7"/>
  <c r="I740" i="7"/>
  <c r="P673" i="7"/>
  <c r="Q673" i="7" s="1"/>
  <c r="J732" i="7"/>
  <c r="I732" i="7"/>
  <c r="P665" i="7"/>
  <c r="Q665" i="7" s="1"/>
  <c r="J724" i="7"/>
  <c r="I724" i="7"/>
  <c r="P657" i="7"/>
  <c r="Q657" i="7" s="1"/>
  <c r="J716" i="7"/>
  <c r="I716" i="7"/>
  <c r="P649" i="7"/>
  <c r="Q649" i="7" s="1"/>
  <c r="J708" i="7"/>
  <c r="I708" i="7"/>
  <c r="P641" i="7"/>
  <c r="Q641" i="7" s="1"/>
  <c r="J700" i="7"/>
  <c r="I700" i="7"/>
  <c r="P633" i="7"/>
  <c r="Q633" i="7" s="1"/>
  <c r="J692" i="7"/>
  <c r="I692" i="7"/>
  <c r="P625" i="7"/>
  <c r="Q625" i="7" s="1"/>
  <c r="J684" i="7"/>
  <c r="I684" i="7"/>
  <c r="P617" i="7"/>
  <c r="Q617" i="7" s="1"/>
  <c r="J676" i="7"/>
  <c r="I676" i="7"/>
  <c r="P609" i="7"/>
  <c r="Q609" i="7" s="1"/>
  <c r="J668" i="7"/>
  <c r="I668" i="7"/>
  <c r="P601" i="7"/>
  <c r="Q601" i="7" s="1"/>
  <c r="J660" i="7"/>
  <c r="I660" i="7"/>
  <c r="P593" i="7"/>
  <c r="Q593" i="7" s="1"/>
  <c r="J652" i="7"/>
  <c r="I652" i="7"/>
  <c r="P585" i="7"/>
  <c r="Q585" i="7" s="1"/>
  <c r="J644" i="7"/>
  <c r="I644" i="7"/>
  <c r="P577" i="7"/>
  <c r="Q577" i="7" s="1"/>
  <c r="J636" i="7"/>
  <c r="I636" i="7"/>
  <c r="P569" i="7"/>
  <c r="Q569" i="7" s="1"/>
  <c r="J628" i="7"/>
  <c r="I628" i="7"/>
  <c r="P561" i="7"/>
  <c r="Q561" i="7" s="1"/>
  <c r="J620" i="7"/>
  <c r="I620" i="7"/>
  <c r="P553" i="7"/>
  <c r="Q553" i="7" s="1"/>
  <c r="J612" i="7"/>
  <c r="I612" i="7"/>
  <c r="P545" i="7"/>
  <c r="Q545" i="7" s="1"/>
  <c r="J604" i="7"/>
  <c r="I604" i="7"/>
  <c r="P537" i="7"/>
  <c r="Q537" i="7" s="1"/>
  <c r="J596" i="7"/>
  <c r="I596" i="7"/>
  <c r="P529" i="7"/>
  <c r="Q529" i="7" s="1"/>
  <c r="J588" i="7"/>
  <c r="I588" i="7"/>
  <c r="P521" i="7"/>
  <c r="Q521" i="7" s="1"/>
  <c r="J580" i="7"/>
  <c r="I580" i="7"/>
  <c r="P513" i="7"/>
  <c r="Q513" i="7" s="1"/>
  <c r="J572" i="7"/>
  <c r="I572" i="7"/>
  <c r="P505" i="7"/>
  <c r="Q505" i="7" s="1"/>
  <c r="J564" i="7"/>
  <c r="I564" i="7"/>
  <c r="P497" i="7"/>
  <c r="Q497" i="7" s="1"/>
  <c r="J556" i="7"/>
  <c r="I556" i="7"/>
  <c r="P489" i="7"/>
  <c r="Q489" i="7" s="1"/>
  <c r="J548" i="7"/>
  <c r="I548" i="7"/>
  <c r="P481" i="7"/>
  <c r="Q481" i="7" s="1"/>
  <c r="J540" i="7"/>
  <c r="I540" i="7"/>
  <c r="P473" i="7"/>
  <c r="Q473" i="7" s="1"/>
  <c r="J532" i="7"/>
  <c r="I532" i="7"/>
  <c r="P465" i="7"/>
  <c r="Q465" i="7" s="1"/>
  <c r="J524" i="7"/>
  <c r="I524" i="7"/>
  <c r="P457" i="7"/>
  <c r="Q457" i="7" s="1"/>
  <c r="J516" i="7"/>
  <c r="I516" i="7"/>
  <c r="P449" i="7"/>
  <c r="Q449" i="7" s="1"/>
  <c r="J508" i="7"/>
  <c r="I508" i="7"/>
  <c r="P441" i="7"/>
  <c r="Q441" i="7" s="1"/>
  <c r="J500" i="7"/>
  <c r="I500" i="7"/>
  <c r="P433" i="7"/>
  <c r="Q433" i="7" s="1"/>
  <c r="J492" i="7"/>
  <c r="I492" i="7"/>
  <c r="P425" i="7"/>
  <c r="Q425" i="7" s="1"/>
  <c r="J484" i="7"/>
  <c r="I484" i="7"/>
  <c r="P417" i="7"/>
  <c r="Q417" i="7" s="1"/>
  <c r="J476" i="7"/>
  <c r="I476" i="7"/>
  <c r="P409" i="7"/>
  <c r="Q409" i="7" s="1"/>
  <c r="J468" i="7"/>
  <c r="I468" i="7"/>
  <c r="P401" i="7"/>
  <c r="Q401" i="7" s="1"/>
  <c r="J460" i="7"/>
  <c r="I460" i="7"/>
  <c r="P393" i="7"/>
  <c r="Q393" i="7" s="1"/>
  <c r="J452" i="7"/>
  <c r="I452" i="7"/>
  <c r="P385" i="7"/>
  <c r="Q385" i="7" s="1"/>
  <c r="J444" i="7"/>
  <c r="I444" i="7"/>
  <c r="P377" i="7"/>
  <c r="Q377" i="7" s="1"/>
  <c r="J436" i="7"/>
  <c r="I436" i="7"/>
  <c r="P369" i="7"/>
  <c r="Q369" i="7" s="1"/>
  <c r="J428" i="7"/>
  <c r="I428" i="7"/>
  <c r="P361" i="7"/>
  <c r="Q361" i="7" s="1"/>
  <c r="J420" i="7"/>
  <c r="I420" i="7"/>
  <c r="P353" i="7"/>
  <c r="Q353" i="7" s="1"/>
  <c r="J412" i="7"/>
  <c r="I412" i="7"/>
  <c r="P345" i="7"/>
  <c r="Q345" i="7" s="1"/>
  <c r="J404" i="7"/>
  <c r="I404" i="7"/>
  <c r="P337" i="7"/>
  <c r="Q337" i="7" s="1"/>
  <c r="J396" i="7"/>
  <c r="I396" i="7"/>
  <c r="P329" i="7"/>
  <c r="Q329" i="7" s="1"/>
  <c r="J388" i="7"/>
  <c r="I388" i="7"/>
  <c r="P321" i="7"/>
  <c r="Q321" i="7" s="1"/>
  <c r="J380" i="7"/>
  <c r="I380" i="7"/>
  <c r="P313" i="7"/>
  <c r="Q313" i="7" s="1"/>
  <c r="J372" i="7"/>
  <c r="I372" i="7"/>
  <c r="P305" i="7"/>
  <c r="Q305" i="7" s="1"/>
  <c r="J364" i="7"/>
  <c r="I364" i="7"/>
  <c r="P297" i="7"/>
  <c r="Q297" i="7" s="1"/>
  <c r="J356" i="7"/>
  <c r="I356" i="7"/>
  <c r="P289" i="7"/>
  <c r="Q289" i="7" s="1"/>
  <c r="J348" i="7"/>
  <c r="I348" i="7"/>
  <c r="P281" i="7"/>
  <c r="Q281" i="7" s="1"/>
  <c r="J340" i="7"/>
  <c r="I340" i="7"/>
  <c r="P273" i="7"/>
  <c r="Q273" i="7" s="1"/>
  <c r="J332" i="7"/>
  <c r="I332" i="7"/>
  <c r="P265" i="7"/>
  <c r="Q265" i="7" s="1"/>
  <c r="J324" i="7"/>
  <c r="I324" i="7"/>
  <c r="P257" i="7"/>
  <c r="Q257" i="7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E993" i="7"/>
  <c r="E420" i="7"/>
  <c r="E484" i="7"/>
  <c r="E929" i="7"/>
  <c r="E413" i="7"/>
  <c r="E477" i="7"/>
  <c r="E937" i="7"/>
  <c r="E681" i="7"/>
  <c r="E1001" i="7"/>
  <c r="E897" i="7"/>
  <c r="E689" i="7"/>
  <c r="E1090" i="7"/>
  <c r="E417" i="7"/>
  <c r="E465" i="7"/>
  <c r="E505" i="7"/>
  <c r="E537" i="7"/>
  <c r="E569" i="7"/>
  <c r="E601" i="7"/>
  <c r="E633" i="7"/>
  <c r="E665" i="7"/>
  <c r="E745" i="7"/>
  <c r="E777" i="7"/>
  <c r="E809" i="7"/>
  <c r="E849" i="7"/>
  <c r="E1017" i="7"/>
  <c r="P1016" i="7"/>
  <c r="Q1016" i="7" s="1"/>
  <c r="J1075" i="7"/>
  <c r="I1075" i="7"/>
  <c r="P992" i="7"/>
  <c r="Q992" i="7" s="1"/>
  <c r="J1051" i="7"/>
  <c r="I1051" i="7"/>
  <c r="P960" i="7"/>
  <c r="Q960" i="7" s="1"/>
  <c r="J1019" i="7"/>
  <c r="I1019" i="7"/>
  <c r="P928" i="7"/>
  <c r="Q928" i="7" s="1"/>
  <c r="J987" i="7"/>
  <c r="I987" i="7"/>
  <c r="P896" i="7"/>
  <c r="Q896" i="7" s="1"/>
  <c r="J955" i="7"/>
  <c r="I955" i="7"/>
  <c r="P864" i="7"/>
  <c r="Q864" i="7" s="1"/>
  <c r="J923" i="7"/>
  <c r="I923" i="7"/>
  <c r="P832" i="7"/>
  <c r="Q832" i="7" s="1"/>
  <c r="J891" i="7"/>
  <c r="I891" i="7"/>
  <c r="P792" i="7"/>
  <c r="Q792" i="7" s="1"/>
  <c r="J851" i="7"/>
  <c r="I851" i="7"/>
  <c r="P760" i="7"/>
  <c r="Q760" i="7" s="1"/>
  <c r="J819" i="7"/>
  <c r="I819" i="7"/>
  <c r="P736" i="7"/>
  <c r="Q736" i="7" s="1"/>
  <c r="J795" i="7"/>
  <c r="I795" i="7"/>
  <c r="P704" i="7"/>
  <c r="Q704" i="7" s="1"/>
  <c r="J763" i="7"/>
  <c r="I763" i="7"/>
  <c r="P672" i="7"/>
  <c r="Q672" i="7" s="1"/>
  <c r="J731" i="7"/>
  <c r="I731" i="7"/>
  <c r="P640" i="7"/>
  <c r="Q640" i="7" s="1"/>
  <c r="J699" i="7"/>
  <c r="I699" i="7"/>
  <c r="P608" i="7"/>
  <c r="Q608" i="7" s="1"/>
  <c r="J667" i="7"/>
  <c r="I667" i="7"/>
  <c r="P576" i="7"/>
  <c r="Q576" i="7" s="1"/>
  <c r="J635" i="7"/>
  <c r="I635" i="7"/>
  <c r="P544" i="7"/>
  <c r="Q544" i="7" s="1"/>
  <c r="J603" i="7"/>
  <c r="I603" i="7"/>
  <c r="P512" i="7"/>
  <c r="Q512" i="7" s="1"/>
  <c r="J571" i="7"/>
  <c r="I571" i="7"/>
  <c r="P472" i="7"/>
  <c r="Q472" i="7" s="1"/>
  <c r="J531" i="7"/>
  <c r="I531" i="7"/>
  <c r="P424" i="7"/>
  <c r="Q424" i="7" s="1"/>
  <c r="J483" i="7"/>
  <c r="I483" i="7"/>
  <c r="P392" i="7"/>
  <c r="Q392" i="7" s="1"/>
  <c r="J451" i="7"/>
  <c r="I451" i="7"/>
  <c r="P360" i="7"/>
  <c r="Q360" i="7" s="1"/>
  <c r="J419" i="7"/>
  <c r="I419" i="7"/>
  <c r="P328" i="7"/>
  <c r="Q328" i="7" s="1"/>
  <c r="J387" i="7"/>
  <c r="I387" i="7"/>
  <c r="P296" i="7"/>
  <c r="Q296" i="7" s="1"/>
  <c r="J355" i="7"/>
  <c r="I355" i="7"/>
  <c r="P264" i="7"/>
  <c r="Q264" i="7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P1072" i="7"/>
  <c r="Q1072" i="7" s="1"/>
  <c r="P1040" i="7"/>
  <c r="Q1040" i="7" s="1"/>
  <c r="J1099" i="7"/>
  <c r="I1099" i="7"/>
  <c r="P1008" i="7"/>
  <c r="Q1008" i="7" s="1"/>
  <c r="J1067" i="7"/>
  <c r="I1067" i="7"/>
  <c r="P976" i="7"/>
  <c r="Q976" i="7" s="1"/>
  <c r="J1035" i="7"/>
  <c r="I1035" i="7"/>
  <c r="P952" i="7"/>
  <c r="Q952" i="7" s="1"/>
  <c r="J1011" i="7"/>
  <c r="I1011" i="7"/>
  <c r="P920" i="7"/>
  <c r="Q920" i="7" s="1"/>
  <c r="J979" i="7"/>
  <c r="I979" i="7"/>
  <c r="P888" i="7"/>
  <c r="Q888" i="7" s="1"/>
  <c r="J947" i="7"/>
  <c r="I947" i="7"/>
  <c r="P856" i="7"/>
  <c r="Q856" i="7" s="1"/>
  <c r="J915" i="7"/>
  <c r="I915" i="7"/>
  <c r="P816" i="7"/>
  <c r="Q816" i="7" s="1"/>
  <c r="J875" i="7"/>
  <c r="I875" i="7"/>
  <c r="P784" i="7"/>
  <c r="Q784" i="7" s="1"/>
  <c r="J843" i="7"/>
  <c r="I843" i="7"/>
  <c r="P752" i="7"/>
  <c r="Q752" i="7" s="1"/>
  <c r="J811" i="7"/>
  <c r="I811" i="7"/>
  <c r="P728" i="7"/>
  <c r="Q728" i="7" s="1"/>
  <c r="J787" i="7"/>
  <c r="I787" i="7"/>
  <c r="P696" i="7"/>
  <c r="Q696" i="7" s="1"/>
  <c r="J755" i="7"/>
  <c r="I755" i="7"/>
  <c r="P664" i="7"/>
  <c r="Q664" i="7" s="1"/>
  <c r="J723" i="7"/>
  <c r="I723" i="7"/>
  <c r="P624" i="7"/>
  <c r="Q624" i="7" s="1"/>
  <c r="J683" i="7"/>
  <c r="I683" i="7"/>
  <c r="P592" i="7"/>
  <c r="Q592" i="7" s="1"/>
  <c r="J651" i="7"/>
  <c r="I651" i="7"/>
  <c r="P560" i="7"/>
  <c r="Q560" i="7" s="1"/>
  <c r="J619" i="7"/>
  <c r="I619" i="7"/>
  <c r="P528" i="7"/>
  <c r="Q528" i="7" s="1"/>
  <c r="J587" i="7"/>
  <c r="I587" i="7"/>
  <c r="P504" i="7"/>
  <c r="Q504" i="7" s="1"/>
  <c r="J563" i="7"/>
  <c r="I563" i="7"/>
  <c r="P480" i="7"/>
  <c r="Q480" i="7" s="1"/>
  <c r="J539" i="7"/>
  <c r="I539" i="7"/>
  <c r="P448" i="7"/>
  <c r="Q448" i="7" s="1"/>
  <c r="J507" i="7"/>
  <c r="I507" i="7"/>
  <c r="P408" i="7"/>
  <c r="Q408" i="7" s="1"/>
  <c r="J467" i="7"/>
  <c r="I467" i="7"/>
  <c r="P376" i="7"/>
  <c r="Q376" i="7" s="1"/>
  <c r="J435" i="7"/>
  <c r="I435" i="7"/>
  <c r="P344" i="7"/>
  <c r="Q344" i="7" s="1"/>
  <c r="J403" i="7"/>
  <c r="I403" i="7"/>
  <c r="P312" i="7"/>
  <c r="Q312" i="7" s="1"/>
  <c r="J371" i="7"/>
  <c r="I371" i="7"/>
  <c r="P280" i="7"/>
  <c r="Q280" i="7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P1055" i="7"/>
  <c r="Q1055" i="7" s="1"/>
  <c r="P1031" i="7"/>
  <c r="Q1031" i="7" s="1"/>
  <c r="J1090" i="7"/>
  <c r="I1090" i="7"/>
  <c r="P1007" i="7"/>
  <c r="Q1007" i="7" s="1"/>
  <c r="J1066" i="7"/>
  <c r="I1066" i="7"/>
  <c r="P983" i="7"/>
  <c r="Q983" i="7" s="1"/>
  <c r="J1042" i="7"/>
  <c r="I1042" i="7"/>
  <c r="P959" i="7"/>
  <c r="Q959" i="7" s="1"/>
  <c r="J1018" i="7"/>
  <c r="I1018" i="7"/>
  <c r="P935" i="7"/>
  <c r="Q935" i="7" s="1"/>
  <c r="J994" i="7"/>
  <c r="I994" i="7"/>
  <c r="P911" i="7"/>
  <c r="Q911" i="7" s="1"/>
  <c r="J970" i="7"/>
  <c r="I970" i="7"/>
  <c r="P879" i="7"/>
  <c r="Q879" i="7" s="1"/>
  <c r="J938" i="7"/>
  <c r="I938" i="7"/>
  <c r="P855" i="7"/>
  <c r="Q855" i="7" s="1"/>
  <c r="J914" i="7"/>
  <c r="I914" i="7"/>
  <c r="P831" i="7"/>
  <c r="Q831" i="7" s="1"/>
  <c r="J890" i="7"/>
  <c r="I890" i="7"/>
  <c r="P807" i="7"/>
  <c r="Q807" i="7" s="1"/>
  <c r="J866" i="7"/>
  <c r="I866" i="7"/>
  <c r="P783" i="7"/>
  <c r="Q783" i="7" s="1"/>
  <c r="J842" i="7"/>
  <c r="I842" i="7"/>
  <c r="P767" i="7"/>
  <c r="Q767" i="7" s="1"/>
  <c r="J826" i="7"/>
  <c r="I826" i="7"/>
  <c r="P743" i="7"/>
  <c r="Q743" i="7" s="1"/>
  <c r="J802" i="7"/>
  <c r="I802" i="7"/>
  <c r="P719" i="7"/>
  <c r="Q719" i="7" s="1"/>
  <c r="J778" i="7"/>
  <c r="I778" i="7"/>
  <c r="P695" i="7"/>
  <c r="Q695" i="7" s="1"/>
  <c r="J754" i="7"/>
  <c r="I754" i="7"/>
  <c r="P671" i="7"/>
  <c r="Q671" i="7" s="1"/>
  <c r="J730" i="7"/>
  <c r="I730" i="7"/>
  <c r="P647" i="7"/>
  <c r="Q647" i="7" s="1"/>
  <c r="J706" i="7"/>
  <c r="I706" i="7"/>
  <c r="P615" i="7"/>
  <c r="Q615" i="7" s="1"/>
  <c r="J674" i="7"/>
  <c r="I674" i="7"/>
  <c r="P591" i="7"/>
  <c r="Q591" i="7" s="1"/>
  <c r="J650" i="7"/>
  <c r="I650" i="7"/>
  <c r="P567" i="7"/>
  <c r="Q567" i="7" s="1"/>
  <c r="J626" i="7"/>
  <c r="I626" i="7"/>
  <c r="P543" i="7"/>
  <c r="Q543" i="7" s="1"/>
  <c r="J602" i="7"/>
  <c r="I602" i="7"/>
  <c r="P519" i="7"/>
  <c r="Q519" i="7" s="1"/>
  <c r="J578" i="7"/>
  <c r="I578" i="7"/>
  <c r="P495" i="7"/>
  <c r="Q495" i="7" s="1"/>
  <c r="J554" i="7"/>
  <c r="I554" i="7"/>
  <c r="P471" i="7"/>
  <c r="Q471" i="7" s="1"/>
  <c r="J530" i="7"/>
  <c r="I530" i="7"/>
  <c r="P447" i="7"/>
  <c r="Q447" i="7" s="1"/>
  <c r="J506" i="7"/>
  <c r="I506" i="7"/>
  <c r="P423" i="7"/>
  <c r="Q423" i="7" s="1"/>
  <c r="J482" i="7"/>
  <c r="I482" i="7"/>
  <c r="P399" i="7"/>
  <c r="Q399" i="7" s="1"/>
  <c r="J458" i="7"/>
  <c r="I458" i="7"/>
  <c r="P375" i="7"/>
  <c r="Q375" i="7" s="1"/>
  <c r="J434" i="7"/>
  <c r="I434" i="7"/>
  <c r="P359" i="7"/>
  <c r="Q359" i="7" s="1"/>
  <c r="J418" i="7"/>
  <c r="I418" i="7"/>
  <c r="P343" i="7"/>
  <c r="Q343" i="7" s="1"/>
  <c r="J402" i="7"/>
  <c r="I402" i="7"/>
  <c r="P319" i="7"/>
  <c r="Q319" i="7" s="1"/>
  <c r="J378" i="7"/>
  <c r="I378" i="7"/>
  <c r="P295" i="7"/>
  <c r="Q295" i="7" s="1"/>
  <c r="J354" i="7"/>
  <c r="I354" i="7"/>
  <c r="P271" i="7"/>
  <c r="Q271" i="7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G554" i="7" s="1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E1066" i="7"/>
  <c r="G1066" i="7" s="1"/>
  <c r="E411" i="7"/>
  <c r="E451" i="7"/>
  <c r="E721" i="7"/>
  <c r="E1057" i="7"/>
  <c r="E444" i="7"/>
  <c r="E705" i="7"/>
  <c r="E977" i="7"/>
  <c r="E421" i="7"/>
  <c r="E485" i="7"/>
  <c r="E985" i="7"/>
  <c r="F857" i="7"/>
  <c r="E1049" i="7"/>
  <c r="E969" i="7"/>
  <c r="G969" i="7" s="1"/>
  <c r="E921" i="7"/>
  <c r="E393" i="7"/>
  <c r="E433" i="7"/>
  <c r="E473" i="7"/>
  <c r="E513" i="7"/>
  <c r="E545" i="7"/>
  <c r="E577" i="7"/>
  <c r="E609" i="7"/>
  <c r="E641" i="7"/>
  <c r="E697" i="7"/>
  <c r="E753" i="7"/>
  <c r="E785" i="7"/>
  <c r="E817" i="7"/>
  <c r="E865" i="7"/>
  <c r="E1073" i="7"/>
  <c r="P1088" i="7"/>
  <c r="Q1088" i="7" s="1"/>
  <c r="P1024" i="7"/>
  <c r="Q1024" i="7" s="1"/>
  <c r="J1083" i="7"/>
  <c r="I1083" i="7"/>
  <c r="P984" i="7"/>
  <c r="Q984" i="7" s="1"/>
  <c r="J1043" i="7"/>
  <c r="I1043" i="7"/>
  <c r="P936" i="7"/>
  <c r="Q936" i="7" s="1"/>
  <c r="J995" i="7"/>
  <c r="I995" i="7"/>
  <c r="P904" i="7"/>
  <c r="Q904" i="7" s="1"/>
  <c r="J963" i="7"/>
  <c r="I963" i="7"/>
  <c r="P872" i="7"/>
  <c r="Q872" i="7" s="1"/>
  <c r="J931" i="7"/>
  <c r="I931" i="7"/>
  <c r="P848" i="7"/>
  <c r="Q848" i="7" s="1"/>
  <c r="J907" i="7"/>
  <c r="I907" i="7"/>
  <c r="P824" i="7"/>
  <c r="Q824" i="7" s="1"/>
  <c r="J883" i="7"/>
  <c r="I883" i="7"/>
  <c r="P800" i="7"/>
  <c r="Q800" i="7" s="1"/>
  <c r="J859" i="7"/>
  <c r="I859" i="7"/>
  <c r="P768" i="7"/>
  <c r="Q768" i="7" s="1"/>
  <c r="J827" i="7"/>
  <c r="I827" i="7"/>
  <c r="P720" i="7"/>
  <c r="Q720" i="7" s="1"/>
  <c r="J779" i="7"/>
  <c r="I779" i="7"/>
  <c r="P680" i="7"/>
  <c r="Q680" i="7" s="1"/>
  <c r="J739" i="7"/>
  <c r="I739" i="7"/>
  <c r="P648" i="7"/>
  <c r="Q648" i="7" s="1"/>
  <c r="J707" i="7"/>
  <c r="I707" i="7"/>
  <c r="P616" i="7"/>
  <c r="Q616" i="7" s="1"/>
  <c r="J675" i="7"/>
  <c r="I675" i="7"/>
  <c r="P584" i="7"/>
  <c r="Q584" i="7" s="1"/>
  <c r="J643" i="7"/>
  <c r="I643" i="7"/>
  <c r="P552" i="7"/>
  <c r="Q552" i="7" s="1"/>
  <c r="J611" i="7"/>
  <c r="I611" i="7"/>
  <c r="P520" i="7"/>
  <c r="Q520" i="7" s="1"/>
  <c r="J579" i="7"/>
  <c r="I579" i="7"/>
  <c r="P488" i="7"/>
  <c r="Q488" i="7" s="1"/>
  <c r="J547" i="7"/>
  <c r="I547" i="7"/>
  <c r="P456" i="7"/>
  <c r="Q456" i="7" s="1"/>
  <c r="J515" i="7"/>
  <c r="I515" i="7"/>
  <c r="P440" i="7"/>
  <c r="Q440" i="7" s="1"/>
  <c r="J499" i="7"/>
  <c r="I499" i="7"/>
  <c r="P416" i="7"/>
  <c r="Q416" i="7" s="1"/>
  <c r="J475" i="7"/>
  <c r="I475" i="7"/>
  <c r="P384" i="7"/>
  <c r="Q384" i="7" s="1"/>
  <c r="J443" i="7"/>
  <c r="I443" i="7"/>
  <c r="P352" i="7"/>
  <c r="Q352" i="7" s="1"/>
  <c r="J411" i="7"/>
  <c r="I411" i="7"/>
  <c r="P320" i="7"/>
  <c r="Q320" i="7" s="1"/>
  <c r="J379" i="7"/>
  <c r="I379" i="7"/>
  <c r="P288" i="7"/>
  <c r="Q288" i="7" s="1"/>
  <c r="J347" i="7"/>
  <c r="I347" i="7"/>
  <c r="P256" i="7"/>
  <c r="Q256" i="7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P1079" i="7"/>
  <c r="Q1079" i="7" s="1"/>
  <c r="P1063" i="7"/>
  <c r="Q1063" i="7" s="1"/>
  <c r="P1039" i="7"/>
  <c r="Q1039" i="7" s="1"/>
  <c r="J1098" i="7"/>
  <c r="I1098" i="7"/>
  <c r="P1015" i="7"/>
  <c r="Q1015" i="7" s="1"/>
  <c r="J1074" i="7"/>
  <c r="I1074" i="7"/>
  <c r="P991" i="7"/>
  <c r="Q991" i="7" s="1"/>
  <c r="J1050" i="7"/>
  <c r="I1050" i="7"/>
  <c r="P967" i="7"/>
  <c r="Q967" i="7" s="1"/>
  <c r="J1026" i="7"/>
  <c r="I1026" i="7"/>
  <c r="P943" i="7"/>
  <c r="Q943" i="7" s="1"/>
  <c r="J1002" i="7"/>
  <c r="I1002" i="7"/>
  <c r="P919" i="7"/>
  <c r="Q919" i="7" s="1"/>
  <c r="J978" i="7"/>
  <c r="I978" i="7"/>
  <c r="P895" i="7"/>
  <c r="Q895" i="7" s="1"/>
  <c r="J954" i="7"/>
  <c r="I954" i="7"/>
  <c r="P871" i="7"/>
  <c r="Q871" i="7" s="1"/>
  <c r="J930" i="7"/>
  <c r="I930" i="7"/>
  <c r="P847" i="7"/>
  <c r="Q847" i="7" s="1"/>
  <c r="J906" i="7"/>
  <c r="I906" i="7"/>
  <c r="P815" i="7"/>
  <c r="Q815" i="7" s="1"/>
  <c r="J874" i="7"/>
  <c r="I874" i="7"/>
  <c r="P791" i="7"/>
  <c r="Q791" i="7" s="1"/>
  <c r="J850" i="7"/>
  <c r="I850" i="7"/>
  <c r="P759" i="7"/>
  <c r="Q759" i="7" s="1"/>
  <c r="J818" i="7"/>
  <c r="I818" i="7"/>
  <c r="P735" i="7"/>
  <c r="Q735" i="7" s="1"/>
  <c r="J794" i="7"/>
  <c r="I794" i="7"/>
  <c r="P711" i="7"/>
  <c r="Q711" i="7" s="1"/>
  <c r="J770" i="7"/>
  <c r="I770" i="7"/>
  <c r="P687" i="7"/>
  <c r="Q687" i="7" s="1"/>
  <c r="J746" i="7"/>
  <c r="I746" i="7"/>
  <c r="P663" i="7"/>
  <c r="Q663" i="7" s="1"/>
  <c r="J722" i="7"/>
  <c r="I722" i="7"/>
  <c r="P639" i="7"/>
  <c r="Q639" i="7" s="1"/>
  <c r="J698" i="7"/>
  <c r="I698" i="7"/>
  <c r="P607" i="7"/>
  <c r="Q607" i="7" s="1"/>
  <c r="J666" i="7"/>
  <c r="I666" i="7"/>
  <c r="P583" i="7"/>
  <c r="Q583" i="7" s="1"/>
  <c r="J642" i="7"/>
  <c r="I642" i="7"/>
  <c r="P559" i="7"/>
  <c r="Q559" i="7" s="1"/>
  <c r="J618" i="7"/>
  <c r="I618" i="7"/>
  <c r="P535" i="7"/>
  <c r="Q535" i="7" s="1"/>
  <c r="J594" i="7"/>
  <c r="I594" i="7"/>
  <c r="P511" i="7"/>
  <c r="Q511" i="7" s="1"/>
  <c r="J570" i="7"/>
  <c r="I570" i="7"/>
  <c r="P487" i="7"/>
  <c r="Q487" i="7" s="1"/>
  <c r="J546" i="7"/>
  <c r="I546" i="7"/>
  <c r="P455" i="7"/>
  <c r="Q455" i="7" s="1"/>
  <c r="J514" i="7"/>
  <c r="I514" i="7"/>
  <c r="P431" i="7"/>
  <c r="Q431" i="7" s="1"/>
  <c r="J490" i="7"/>
  <c r="I490" i="7"/>
  <c r="P407" i="7"/>
  <c r="Q407" i="7" s="1"/>
  <c r="J466" i="7"/>
  <c r="I466" i="7"/>
  <c r="P383" i="7"/>
  <c r="Q383" i="7" s="1"/>
  <c r="J442" i="7"/>
  <c r="I442" i="7"/>
  <c r="P351" i="7"/>
  <c r="Q351" i="7" s="1"/>
  <c r="J410" i="7"/>
  <c r="I410" i="7"/>
  <c r="P327" i="7"/>
  <c r="Q327" i="7" s="1"/>
  <c r="J386" i="7"/>
  <c r="I386" i="7"/>
  <c r="P303" i="7"/>
  <c r="Q303" i="7" s="1"/>
  <c r="J362" i="7"/>
  <c r="I362" i="7"/>
  <c r="P279" i="7"/>
  <c r="Q279" i="7" s="1"/>
  <c r="J338" i="7"/>
  <c r="I338" i="7"/>
  <c r="P255" i="7"/>
  <c r="Q255" i="7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P1078" i="7"/>
  <c r="Q1078" i="7" s="1"/>
  <c r="P1054" i="7"/>
  <c r="Q1054" i="7" s="1"/>
  <c r="P1038" i="7"/>
  <c r="Q1038" i="7" s="1"/>
  <c r="J1097" i="7"/>
  <c r="I1097" i="7"/>
  <c r="P1014" i="7"/>
  <c r="Q1014" i="7" s="1"/>
  <c r="J1073" i="7"/>
  <c r="I1073" i="7"/>
  <c r="P998" i="7"/>
  <c r="Q998" i="7" s="1"/>
  <c r="J1057" i="7"/>
  <c r="I1057" i="7"/>
  <c r="P982" i="7"/>
  <c r="Q982" i="7" s="1"/>
  <c r="J1041" i="7"/>
  <c r="I1041" i="7"/>
  <c r="P966" i="7"/>
  <c r="Q966" i="7" s="1"/>
  <c r="J1025" i="7"/>
  <c r="I1025" i="7"/>
  <c r="P942" i="7"/>
  <c r="Q942" i="7" s="1"/>
  <c r="J1001" i="7"/>
  <c r="I1001" i="7"/>
  <c r="P926" i="7"/>
  <c r="Q926" i="7" s="1"/>
  <c r="R926" i="7" s="1"/>
  <c r="J985" i="7"/>
  <c r="I985" i="7"/>
  <c r="P910" i="7"/>
  <c r="Q910" i="7" s="1"/>
  <c r="J969" i="7"/>
  <c r="I969" i="7"/>
  <c r="P894" i="7"/>
  <c r="Q894" i="7" s="1"/>
  <c r="J953" i="7"/>
  <c r="I953" i="7"/>
  <c r="P878" i="7"/>
  <c r="Q878" i="7" s="1"/>
  <c r="J937" i="7"/>
  <c r="I937" i="7"/>
  <c r="P862" i="7"/>
  <c r="Q862" i="7" s="1"/>
  <c r="J921" i="7"/>
  <c r="I921" i="7"/>
  <c r="P854" i="7"/>
  <c r="Q854" i="7" s="1"/>
  <c r="J913" i="7"/>
  <c r="I913" i="7"/>
  <c r="P846" i="7"/>
  <c r="Q846" i="7" s="1"/>
  <c r="J905" i="7"/>
  <c r="I905" i="7"/>
  <c r="P838" i="7"/>
  <c r="Q838" i="7" s="1"/>
  <c r="J897" i="7"/>
  <c r="I897" i="7"/>
  <c r="P830" i="7"/>
  <c r="Q830" i="7" s="1"/>
  <c r="R830" i="7" s="1"/>
  <c r="J889" i="7"/>
  <c r="I889" i="7"/>
  <c r="P814" i="7"/>
  <c r="Q814" i="7" s="1"/>
  <c r="J873" i="7"/>
  <c r="I873" i="7"/>
  <c r="P806" i="7"/>
  <c r="Q806" i="7" s="1"/>
  <c r="J865" i="7"/>
  <c r="I865" i="7"/>
  <c r="P798" i="7"/>
  <c r="Q798" i="7" s="1"/>
  <c r="R798" i="7" s="1"/>
  <c r="J857" i="7"/>
  <c r="I857" i="7"/>
  <c r="P790" i="7"/>
  <c r="Q790" i="7" s="1"/>
  <c r="J849" i="7"/>
  <c r="I849" i="7"/>
  <c r="P782" i="7"/>
  <c r="Q782" i="7" s="1"/>
  <c r="J841" i="7"/>
  <c r="I841" i="7"/>
  <c r="P774" i="7"/>
  <c r="Q774" i="7" s="1"/>
  <c r="J833" i="7"/>
  <c r="I833" i="7"/>
  <c r="P766" i="7"/>
  <c r="Q766" i="7" s="1"/>
  <c r="R766" i="7" s="1"/>
  <c r="J825" i="7"/>
  <c r="I825" i="7"/>
  <c r="P758" i="7"/>
  <c r="Q758" i="7" s="1"/>
  <c r="J817" i="7"/>
  <c r="I817" i="7"/>
  <c r="P750" i="7"/>
  <c r="Q750" i="7" s="1"/>
  <c r="J809" i="7"/>
  <c r="I809" i="7"/>
  <c r="P742" i="7"/>
  <c r="Q742" i="7" s="1"/>
  <c r="J801" i="7"/>
  <c r="I801" i="7"/>
  <c r="P734" i="7"/>
  <c r="Q734" i="7" s="1"/>
  <c r="R734" i="7" s="1"/>
  <c r="J793" i="7"/>
  <c r="I793" i="7"/>
  <c r="P726" i="7"/>
  <c r="Q726" i="7" s="1"/>
  <c r="J785" i="7"/>
  <c r="I785" i="7"/>
  <c r="P718" i="7"/>
  <c r="Q718" i="7" s="1"/>
  <c r="J777" i="7"/>
  <c r="I777" i="7"/>
  <c r="P710" i="7"/>
  <c r="Q710" i="7" s="1"/>
  <c r="J769" i="7"/>
  <c r="I769" i="7"/>
  <c r="P702" i="7"/>
  <c r="Q702" i="7" s="1"/>
  <c r="R702" i="7" s="1"/>
  <c r="J761" i="7"/>
  <c r="I761" i="7"/>
  <c r="P694" i="7"/>
  <c r="Q694" i="7" s="1"/>
  <c r="J753" i="7"/>
  <c r="I753" i="7"/>
  <c r="P686" i="7"/>
  <c r="Q686" i="7" s="1"/>
  <c r="R686" i="7" s="1"/>
  <c r="J745" i="7"/>
  <c r="I745" i="7"/>
  <c r="P678" i="7"/>
  <c r="Q678" i="7" s="1"/>
  <c r="J737" i="7"/>
  <c r="I737" i="7"/>
  <c r="P670" i="7"/>
  <c r="Q670" i="7" s="1"/>
  <c r="J729" i="7"/>
  <c r="I729" i="7"/>
  <c r="P662" i="7"/>
  <c r="Q662" i="7" s="1"/>
  <c r="J721" i="7"/>
  <c r="I721" i="7"/>
  <c r="P654" i="7"/>
  <c r="Q654" i="7" s="1"/>
  <c r="J713" i="7"/>
  <c r="I713" i="7"/>
  <c r="P646" i="7"/>
  <c r="Q646" i="7" s="1"/>
  <c r="R646" i="7" s="1"/>
  <c r="J705" i="7"/>
  <c r="I705" i="7"/>
  <c r="P638" i="7"/>
  <c r="Q638" i="7" s="1"/>
  <c r="R638" i="7" s="1"/>
  <c r="J697" i="7"/>
  <c r="I697" i="7"/>
  <c r="P630" i="7"/>
  <c r="Q630" i="7" s="1"/>
  <c r="J689" i="7"/>
  <c r="I689" i="7"/>
  <c r="P622" i="7"/>
  <c r="Q622" i="7" s="1"/>
  <c r="R622" i="7" s="1"/>
  <c r="J681" i="7"/>
  <c r="I681" i="7"/>
  <c r="P614" i="7"/>
  <c r="Q614" i="7" s="1"/>
  <c r="J673" i="7"/>
  <c r="I673" i="7"/>
  <c r="P606" i="7"/>
  <c r="Q606" i="7" s="1"/>
  <c r="J665" i="7"/>
  <c r="I665" i="7"/>
  <c r="P598" i="7"/>
  <c r="Q598" i="7" s="1"/>
  <c r="J657" i="7"/>
  <c r="I657" i="7"/>
  <c r="P590" i="7"/>
  <c r="Q590" i="7" s="1"/>
  <c r="J649" i="7"/>
  <c r="I649" i="7"/>
  <c r="P582" i="7"/>
  <c r="Q582" i="7" s="1"/>
  <c r="J641" i="7"/>
  <c r="I641" i="7"/>
  <c r="P574" i="7"/>
  <c r="Q574" i="7" s="1"/>
  <c r="R574" i="7" s="1"/>
  <c r="J633" i="7"/>
  <c r="I633" i="7"/>
  <c r="P566" i="7"/>
  <c r="Q566" i="7" s="1"/>
  <c r="J625" i="7"/>
  <c r="I625" i="7"/>
  <c r="P558" i="7"/>
  <c r="Q558" i="7" s="1"/>
  <c r="R558" i="7" s="1"/>
  <c r="J617" i="7"/>
  <c r="I617" i="7"/>
  <c r="P550" i="7"/>
  <c r="Q550" i="7" s="1"/>
  <c r="J609" i="7"/>
  <c r="I609" i="7"/>
  <c r="P542" i="7"/>
  <c r="Q542" i="7" s="1"/>
  <c r="J601" i="7"/>
  <c r="I601" i="7"/>
  <c r="P534" i="7"/>
  <c r="Q534" i="7" s="1"/>
  <c r="J593" i="7"/>
  <c r="I593" i="7"/>
  <c r="P526" i="7"/>
  <c r="Q526" i="7" s="1"/>
  <c r="J585" i="7"/>
  <c r="I585" i="7"/>
  <c r="P518" i="7"/>
  <c r="Q518" i="7" s="1"/>
  <c r="J577" i="7"/>
  <c r="I577" i="7"/>
  <c r="P510" i="7"/>
  <c r="Q510" i="7" s="1"/>
  <c r="R510" i="7" s="1"/>
  <c r="J569" i="7"/>
  <c r="I569" i="7"/>
  <c r="P502" i="7"/>
  <c r="Q502" i="7" s="1"/>
  <c r="J561" i="7"/>
  <c r="I561" i="7"/>
  <c r="P494" i="7"/>
  <c r="Q494" i="7" s="1"/>
  <c r="R494" i="7" s="1"/>
  <c r="J553" i="7"/>
  <c r="I553" i="7"/>
  <c r="P486" i="7"/>
  <c r="Q486" i="7" s="1"/>
  <c r="J545" i="7"/>
  <c r="I545" i="7"/>
  <c r="P478" i="7"/>
  <c r="Q478" i="7" s="1"/>
  <c r="J537" i="7"/>
  <c r="I537" i="7"/>
  <c r="P470" i="7"/>
  <c r="Q470" i="7" s="1"/>
  <c r="J529" i="7"/>
  <c r="I529" i="7"/>
  <c r="P462" i="7"/>
  <c r="Q462" i="7" s="1"/>
  <c r="J521" i="7"/>
  <c r="I521" i="7"/>
  <c r="P454" i="7"/>
  <c r="Q454" i="7" s="1"/>
  <c r="J513" i="7"/>
  <c r="I513" i="7"/>
  <c r="P446" i="7"/>
  <c r="Q446" i="7" s="1"/>
  <c r="R446" i="7" s="1"/>
  <c r="J505" i="7"/>
  <c r="I505" i="7"/>
  <c r="P438" i="7"/>
  <c r="Q438" i="7" s="1"/>
  <c r="J497" i="7"/>
  <c r="I497" i="7"/>
  <c r="P430" i="7"/>
  <c r="Q430" i="7" s="1"/>
  <c r="R430" i="7" s="1"/>
  <c r="J489" i="7"/>
  <c r="I489" i="7"/>
  <c r="P422" i="7"/>
  <c r="Q422" i="7" s="1"/>
  <c r="J481" i="7"/>
  <c r="I481" i="7"/>
  <c r="P414" i="7"/>
  <c r="Q414" i="7" s="1"/>
  <c r="R414" i="7" s="1"/>
  <c r="J473" i="7"/>
  <c r="I473" i="7"/>
  <c r="P406" i="7"/>
  <c r="Q406" i="7" s="1"/>
  <c r="J465" i="7"/>
  <c r="I465" i="7"/>
  <c r="P398" i="7"/>
  <c r="Q398" i="7" s="1"/>
  <c r="J457" i="7"/>
  <c r="I457" i="7"/>
  <c r="P390" i="7"/>
  <c r="Q390" i="7" s="1"/>
  <c r="J449" i="7"/>
  <c r="I449" i="7"/>
  <c r="P382" i="7"/>
  <c r="Q382" i="7" s="1"/>
  <c r="R382" i="7" s="1"/>
  <c r="J441" i="7"/>
  <c r="I441" i="7"/>
  <c r="P374" i="7"/>
  <c r="Q374" i="7" s="1"/>
  <c r="J433" i="7"/>
  <c r="I433" i="7"/>
  <c r="P366" i="7"/>
  <c r="Q366" i="7" s="1"/>
  <c r="R366" i="7" s="1"/>
  <c r="J425" i="7"/>
  <c r="I425" i="7"/>
  <c r="P358" i="7"/>
  <c r="Q358" i="7" s="1"/>
  <c r="J417" i="7"/>
  <c r="I417" i="7"/>
  <c r="P350" i="7"/>
  <c r="Q350" i="7" s="1"/>
  <c r="R350" i="7" s="1"/>
  <c r="J409" i="7"/>
  <c r="I409" i="7"/>
  <c r="P342" i="7"/>
  <c r="Q342" i="7" s="1"/>
  <c r="J401" i="7"/>
  <c r="I401" i="7"/>
  <c r="P334" i="7"/>
  <c r="Q334" i="7" s="1"/>
  <c r="J393" i="7"/>
  <c r="I393" i="7"/>
  <c r="P326" i="7"/>
  <c r="Q326" i="7" s="1"/>
  <c r="J385" i="7"/>
  <c r="I385" i="7"/>
  <c r="P318" i="7"/>
  <c r="Q318" i="7" s="1"/>
  <c r="J377" i="7"/>
  <c r="I377" i="7"/>
  <c r="P310" i="7"/>
  <c r="Q310" i="7" s="1"/>
  <c r="J369" i="7"/>
  <c r="I369" i="7"/>
  <c r="P302" i="7"/>
  <c r="Q302" i="7" s="1"/>
  <c r="J361" i="7"/>
  <c r="I361" i="7"/>
  <c r="P294" i="7"/>
  <c r="Q294" i="7" s="1"/>
  <c r="J353" i="7"/>
  <c r="I353" i="7"/>
  <c r="P286" i="7"/>
  <c r="Q286" i="7" s="1"/>
  <c r="J345" i="7"/>
  <c r="I345" i="7"/>
  <c r="P278" i="7"/>
  <c r="Q278" i="7" s="1"/>
  <c r="J337" i="7"/>
  <c r="I337" i="7"/>
  <c r="P270" i="7"/>
  <c r="Q270" i="7" s="1"/>
  <c r="J329" i="7"/>
  <c r="I329" i="7"/>
  <c r="P262" i="7"/>
  <c r="Q262" i="7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P1032" i="7"/>
  <c r="Q1032" i="7" s="1"/>
  <c r="J1091" i="7"/>
  <c r="I1091" i="7"/>
  <c r="P1000" i="7"/>
  <c r="Q1000" i="7" s="1"/>
  <c r="J1059" i="7"/>
  <c r="I1059" i="7"/>
  <c r="P968" i="7"/>
  <c r="Q968" i="7" s="1"/>
  <c r="J1027" i="7"/>
  <c r="I1027" i="7"/>
  <c r="P944" i="7"/>
  <c r="Q944" i="7" s="1"/>
  <c r="J1003" i="7"/>
  <c r="I1003" i="7"/>
  <c r="P912" i="7"/>
  <c r="Q912" i="7" s="1"/>
  <c r="J971" i="7"/>
  <c r="I971" i="7"/>
  <c r="P880" i="7"/>
  <c r="Q880" i="7" s="1"/>
  <c r="J939" i="7"/>
  <c r="I939" i="7"/>
  <c r="P840" i="7"/>
  <c r="Q840" i="7" s="1"/>
  <c r="J899" i="7"/>
  <c r="I899" i="7"/>
  <c r="P808" i="7"/>
  <c r="Q808" i="7" s="1"/>
  <c r="J867" i="7"/>
  <c r="I867" i="7"/>
  <c r="P776" i="7"/>
  <c r="Q776" i="7" s="1"/>
  <c r="J835" i="7"/>
  <c r="I835" i="7"/>
  <c r="P744" i="7"/>
  <c r="Q744" i="7" s="1"/>
  <c r="J803" i="7"/>
  <c r="I803" i="7"/>
  <c r="P712" i="7"/>
  <c r="Q712" i="7" s="1"/>
  <c r="J771" i="7"/>
  <c r="I771" i="7"/>
  <c r="P688" i="7"/>
  <c r="Q688" i="7" s="1"/>
  <c r="J747" i="7"/>
  <c r="I747" i="7"/>
  <c r="P656" i="7"/>
  <c r="Q656" i="7" s="1"/>
  <c r="J715" i="7"/>
  <c r="I715" i="7"/>
  <c r="P632" i="7"/>
  <c r="Q632" i="7" s="1"/>
  <c r="J691" i="7"/>
  <c r="I691" i="7"/>
  <c r="P600" i="7"/>
  <c r="Q600" i="7" s="1"/>
  <c r="J659" i="7"/>
  <c r="I659" i="7"/>
  <c r="P568" i="7"/>
  <c r="Q568" i="7" s="1"/>
  <c r="J627" i="7"/>
  <c r="I627" i="7"/>
  <c r="P536" i="7"/>
  <c r="Q536" i="7" s="1"/>
  <c r="J595" i="7"/>
  <c r="I595" i="7"/>
  <c r="P496" i="7"/>
  <c r="Q496" i="7" s="1"/>
  <c r="J555" i="7"/>
  <c r="I555" i="7"/>
  <c r="P464" i="7"/>
  <c r="Q464" i="7" s="1"/>
  <c r="J523" i="7"/>
  <c r="I523" i="7"/>
  <c r="P432" i="7"/>
  <c r="Q432" i="7" s="1"/>
  <c r="J491" i="7"/>
  <c r="I491" i="7"/>
  <c r="P400" i="7"/>
  <c r="Q400" i="7" s="1"/>
  <c r="J459" i="7"/>
  <c r="I459" i="7"/>
  <c r="P368" i="7"/>
  <c r="Q368" i="7" s="1"/>
  <c r="J427" i="7"/>
  <c r="I427" i="7"/>
  <c r="P336" i="7"/>
  <c r="Q336" i="7" s="1"/>
  <c r="J395" i="7"/>
  <c r="I395" i="7"/>
  <c r="P304" i="7"/>
  <c r="Q304" i="7" s="1"/>
  <c r="J363" i="7"/>
  <c r="I363" i="7"/>
  <c r="P272" i="7"/>
  <c r="Q272" i="7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P1071" i="7"/>
  <c r="Q1071" i="7" s="1"/>
  <c r="P1047" i="7"/>
  <c r="Q1047" i="7" s="1"/>
  <c r="P1023" i="7"/>
  <c r="Q1023" i="7" s="1"/>
  <c r="J1082" i="7"/>
  <c r="I1082" i="7"/>
  <c r="P999" i="7"/>
  <c r="Q999" i="7" s="1"/>
  <c r="J1058" i="7"/>
  <c r="I1058" i="7"/>
  <c r="P975" i="7"/>
  <c r="Q975" i="7" s="1"/>
  <c r="J1034" i="7"/>
  <c r="I1034" i="7"/>
  <c r="P951" i="7"/>
  <c r="Q951" i="7" s="1"/>
  <c r="J1010" i="7"/>
  <c r="I1010" i="7"/>
  <c r="P927" i="7"/>
  <c r="Q927" i="7" s="1"/>
  <c r="J986" i="7"/>
  <c r="I986" i="7"/>
  <c r="P903" i="7"/>
  <c r="Q903" i="7" s="1"/>
  <c r="J962" i="7"/>
  <c r="I962" i="7"/>
  <c r="P887" i="7"/>
  <c r="Q887" i="7" s="1"/>
  <c r="J946" i="7"/>
  <c r="I946" i="7"/>
  <c r="P863" i="7"/>
  <c r="Q863" i="7" s="1"/>
  <c r="J922" i="7"/>
  <c r="I922" i="7"/>
  <c r="P839" i="7"/>
  <c r="Q839" i="7" s="1"/>
  <c r="J898" i="7"/>
  <c r="I898" i="7"/>
  <c r="P823" i="7"/>
  <c r="Q823" i="7" s="1"/>
  <c r="J882" i="7"/>
  <c r="I882" i="7"/>
  <c r="P799" i="7"/>
  <c r="Q799" i="7" s="1"/>
  <c r="J858" i="7"/>
  <c r="I858" i="7"/>
  <c r="P775" i="7"/>
  <c r="Q775" i="7" s="1"/>
  <c r="J834" i="7"/>
  <c r="I834" i="7"/>
  <c r="P751" i="7"/>
  <c r="Q751" i="7" s="1"/>
  <c r="J810" i="7"/>
  <c r="I810" i="7"/>
  <c r="P727" i="7"/>
  <c r="Q727" i="7" s="1"/>
  <c r="J786" i="7"/>
  <c r="I786" i="7"/>
  <c r="P703" i="7"/>
  <c r="Q703" i="7" s="1"/>
  <c r="J762" i="7"/>
  <c r="I762" i="7"/>
  <c r="P679" i="7"/>
  <c r="Q679" i="7" s="1"/>
  <c r="J738" i="7"/>
  <c r="I738" i="7"/>
  <c r="P655" i="7"/>
  <c r="Q655" i="7" s="1"/>
  <c r="J714" i="7"/>
  <c r="I714" i="7"/>
  <c r="P631" i="7"/>
  <c r="Q631" i="7" s="1"/>
  <c r="J690" i="7"/>
  <c r="I690" i="7"/>
  <c r="P623" i="7"/>
  <c r="Q623" i="7" s="1"/>
  <c r="J682" i="7"/>
  <c r="I682" i="7"/>
  <c r="P599" i="7"/>
  <c r="Q599" i="7" s="1"/>
  <c r="J658" i="7"/>
  <c r="I658" i="7"/>
  <c r="P575" i="7"/>
  <c r="Q575" i="7" s="1"/>
  <c r="J634" i="7"/>
  <c r="I634" i="7"/>
  <c r="P551" i="7"/>
  <c r="Q551" i="7" s="1"/>
  <c r="J610" i="7"/>
  <c r="I610" i="7"/>
  <c r="P527" i="7"/>
  <c r="Q527" i="7" s="1"/>
  <c r="J586" i="7"/>
  <c r="I586" i="7"/>
  <c r="P503" i="7"/>
  <c r="Q503" i="7" s="1"/>
  <c r="J562" i="7"/>
  <c r="I562" i="7"/>
  <c r="P479" i="7"/>
  <c r="Q479" i="7" s="1"/>
  <c r="J538" i="7"/>
  <c r="I538" i="7"/>
  <c r="P463" i="7"/>
  <c r="Q463" i="7" s="1"/>
  <c r="J522" i="7"/>
  <c r="I522" i="7"/>
  <c r="P439" i="7"/>
  <c r="Q439" i="7" s="1"/>
  <c r="J498" i="7"/>
  <c r="I498" i="7"/>
  <c r="P415" i="7"/>
  <c r="Q415" i="7" s="1"/>
  <c r="J474" i="7"/>
  <c r="I474" i="7"/>
  <c r="P391" i="7"/>
  <c r="Q391" i="7" s="1"/>
  <c r="J450" i="7"/>
  <c r="I450" i="7"/>
  <c r="P367" i="7"/>
  <c r="Q367" i="7" s="1"/>
  <c r="J426" i="7"/>
  <c r="I426" i="7"/>
  <c r="P335" i="7"/>
  <c r="Q335" i="7" s="1"/>
  <c r="J394" i="7"/>
  <c r="I394" i="7"/>
  <c r="P311" i="7"/>
  <c r="Q311" i="7" s="1"/>
  <c r="J370" i="7"/>
  <c r="I370" i="7"/>
  <c r="P287" i="7"/>
  <c r="Q287" i="7" s="1"/>
  <c r="J346" i="7"/>
  <c r="I346" i="7"/>
  <c r="P263" i="7"/>
  <c r="Q263" i="7" s="1"/>
  <c r="J322" i="7"/>
  <c r="I322" i="7"/>
  <c r="J290" i="7"/>
  <c r="I290" i="7"/>
  <c r="J266" i="7"/>
  <c r="I266" i="7"/>
  <c r="J194" i="7"/>
  <c r="I194" i="7"/>
  <c r="P1102" i="7"/>
  <c r="Q1102" i="7" s="1"/>
  <c r="P1086" i="7"/>
  <c r="Q1086" i="7" s="1"/>
  <c r="P1070" i="7"/>
  <c r="Q1070" i="7" s="1"/>
  <c r="P1062" i="7"/>
  <c r="Q1062" i="7" s="1"/>
  <c r="P1046" i="7"/>
  <c r="Q1046" i="7" s="1"/>
  <c r="I1105" i="7"/>
  <c r="P1030" i="7"/>
  <c r="Q1030" i="7" s="1"/>
  <c r="J1089" i="7"/>
  <c r="I1089" i="7"/>
  <c r="P1022" i="7"/>
  <c r="Q1022" i="7" s="1"/>
  <c r="J1081" i="7"/>
  <c r="I1081" i="7"/>
  <c r="P1006" i="7"/>
  <c r="Q1006" i="7" s="1"/>
  <c r="J1065" i="7"/>
  <c r="I1065" i="7"/>
  <c r="P990" i="7"/>
  <c r="Q990" i="7" s="1"/>
  <c r="J1049" i="7"/>
  <c r="I1049" i="7"/>
  <c r="P974" i="7"/>
  <c r="Q974" i="7" s="1"/>
  <c r="J1033" i="7"/>
  <c r="I1033" i="7"/>
  <c r="P958" i="7"/>
  <c r="Q958" i="7" s="1"/>
  <c r="J1017" i="7"/>
  <c r="I1017" i="7"/>
  <c r="P950" i="7"/>
  <c r="Q950" i="7" s="1"/>
  <c r="J1009" i="7"/>
  <c r="I1009" i="7"/>
  <c r="P934" i="7"/>
  <c r="Q934" i="7" s="1"/>
  <c r="J993" i="7"/>
  <c r="I993" i="7"/>
  <c r="P918" i="7"/>
  <c r="Q918" i="7" s="1"/>
  <c r="J977" i="7"/>
  <c r="I977" i="7"/>
  <c r="P902" i="7"/>
  <c r="Q902" i="7" s="1"/>
  <c r="J961" i="7"/>
  <c r="I961" i="7"/>
  <c r="P886" i="7"/>
  <c r="Q886" i="7" s="1"/>
  <c r="J945" i="7"/>
  <c r="I945" i="7"/>
  <c r="P870" i="7"/>
  <c r="Q870" i="7" s="1"/>
  <c r="J929" i="7"/>
  <c r="I929" i="7"/>
  <c r="P822" i="7"/>
  <c r="Q822" i="7" s="1"/>
  <c r="J881" i="7"/>
  <c r="I881" i="7"/>
  <c r="P1101" i="7"/>
  <c r="Q1101" i="7" s="1"/>
  <c r="P1093" i="7"/>
  <c r="Q1093" i="7" s="1"/>
  <c r="P1085" i="7"/>
  <c r="Q1085" i="7" s="1"/>
  <c r="P1077" i="7"/>
  <c r="Q1077" i="7" s="1"/>
  <c r="P1069" i="7"/>
  <c r="Q1069" i="7" s="1"/>
  <c r="P1061" i="7"/>
  <c r="Q1061" i="7" s="1"/>
  <c r="P1053" i="7"/>
  <c r="Q1053" i="7" s="1"/>
  <c r="P1045" i="7"/>
  <c r="Q1045" i="7" s="1"/>
  <c r="J1104" i="7"/>
  <c r="I1104" i="7"/>
  <c r="P1037" i="7"/>
  <c r="Q1037" i="7" s="1"/>
  <c r="J1096" i="7"/>
  <c r="I1096" i="7"/>
  <c r="P1029" i="7"/>
  <c r="Q1029" i="7" s="1"/>
  <c r="J1088" i="7"/>
  <c r="I1088" i="7"/>
  <c r="P1021" i="7"/>
  <c r="Q1021" i="7" s="1"/>
  <c r="J1080" i="7"/>
  <c r="I1080" i="7"/>
  <c r="P1013" i="7"/>
  <c r="Q1013" i="7" s="1"/>
  <c r="J1072" i="7"/>
  <c r="I1072" i="7"/>
  <c r="P1005" i="7"/>
  <c r="Q1005" i="7" s="1"/>
  <c r="J1064" i="7"/>
  <c r="I1064" i="7"/>
  <c r="P997" i="7"/>
  <c r="Q997" i="7" s="1"/>
  <c r="J1056" i="7"/>
  <c r="I1056" i="7"/>
  <c r="P989" i="7"/>
  <c r="Q989" i="7" s="1"/>
  <c r="J1048" i="7"/>
  <c r="I1048" i="7"/>
  <c r="P981" i="7"/>
  <c r="Q981" i="7" s="1"/>
  <c r="J1040" i="7"/>
  <c r="I1040" i="7"/>
  <c r="P973" i="7"/>
  <c r="Q973" i="7" s="1"/>
  <c r="J1032" i="7"/>
  <c r="I1032" i="7"/>
  <c r="P965" i="7"/>
  <c r="Q965" i="7" s="1"/>
  <c r="J1024" i="7"/>
  <c r="I1024" i="7"/>
  <c r="P957" i="7"/>
  <c r="Q957" i="7" s="1"/>
  <c r="J1016" i="7"/>
  <c r="I1016" i="7"/>
  <c r="P949" i="7"/>
  <c r="Q949" i="7" s="1"/>
  <c r="J1008" i="7"/>
  <c r="I1008" i="7"/>
  <c r="P941" i="7"/>
  <c r="Q941" i="7" s="1"/>
  <c r="J1000" i="7"/>
  <c r="I1000" i="7"/>
  <c r="P933" i="7"/>
  <c r="Q933" i="7" s="1"/>
  <c r="J992" i="7"/>
  <c r="I992" i="7"/>
  <c r="P925" i="7"/>
  <c r="Q925" i="7" s="1"/>
  <c r="J984" i="7"/>
  <c r="I984" i="7"/>
  <c r="P917" i="7"/>
  <c r="Q917" i="7" s="1"/>
  <c r="R917" i="7" s="1"/>
  <c r="J976" i="7"/>
  <c r="I976" i="7"/>
  <c r="P909" i="7"/>
  <c r="Q909" i="7" s="1"/>
  <c r="J968" i="7"/>
  <c r="I968" i="7"/>
  <c r="P901" i="7"/>
  <c r="Q901" i="7" s="1"/>
  <c r="J960" i="7"/>
  <c r="I960" i="7"/>
  <c r="P893" i="7"/>
  <c r="Q893" i="7" s="1"/>
  <c r="J952" i="7"/>
  <c r="I952" i="7"/>
  <c r="P885" i="7"/>
  <c r="Q885" i="7" s="1"/>
  <c r="J944" i="7"/>
  <c r="I944" i="7"/>
  <c r="P877" i="7"/>
  <c r="Q877" i="7" s="1"/>
  <c r="J936" i="7"/>
  <c r="I936" i="7"/>
  <c r="P869" i="7"/>
  <c r="Q869" i="7" s="1"/>
  <c r="J928" i="7"/>
  <c r="I928" i="7"/>
  <c r="P861" i="7"/>
  <c r="Q861" i="7" s="1"/>
  <c r="J920" i="7"/>
  <c r="I920" i="7"/>
  <c r="P853" i="7"/>
  <c r="Q853" i="7" s="1"/>
  <c r="J912" i="7"/>
  <c r="I912" i="7"/>
  <c r="P845" i="7"/>
  <c r="Q845" i="7" s="1"/>
  <c r="J904" i="7"/>
  <c r="I904" i="7"/>
  <c r="P837" i="7"/>
  <c r="Q837" i="7" s="1"/>
  <c r="J896" i="7"/>
  <c r="I896" i="7"/>
  <c r="P829" i="7"/>
  <c r="Q829" i="7" s="1"/>
  <c r="J888" i="7"/>
  <c r="I888" i="7"/>
  <c r="P821" i="7"/>
  <c r="Q821" i="7" s="1"/>
  <c r="J880" i="7"/>
  <c r="I880" i="7"/>
  <c r="P813" i="7"/>
  <c r="Q813" i="7" s="1"/>
  <c r="J872" i="7"/>
  <c r="I872" i="7"/>
  <c r="P805" i="7"/>
  <c r="Q805" i="7" s="1"/>
  <c r="J864" i="7"/>
  <c r="I864" i="7"/>
  <c r="P797" i="7"/>
  <c r="Q797" i="7" s="1"/>
  <c r="J856" i="7"/>
  <c r="I856" i="7"/>
  <c r="P789" i="7"/>
  <c r="Q789" i="7" s="1"/>
  <c r="J848" i="7"/>
  <c r="I848" i="7"/>
  <c r="P781" i="7"/>
  <c r="Q781" i="7" s="1"/>
  <c r="J840" i="7"/>
  <c r="I840" i="7"/>
  <c r="P773" i="7"/>
  <c r="Q773" i="7" s="1"/>
  <c r="J832" i="7"/>
  <c r="I832" i="7"/>
  <c r="P765" i="7"/>
  <c r="Q765" i="7" s="1"/>
  <c r="J824" i="7"/>
  <c r="I824" i="7"/>
  <c r="P757" i="7"/>
  <c r="Q757" i="7" s="1"/>
  <c r="J816" i="7"/>
  <c r="I816" i="7"/>
  <c r="P749" i="7"/>
  <c r="Q749" i="7" s="1"/>
  <c r="J808" i="7"/>
  <c r="I808" i="7"/>
  <c r="P741" i="7"/>
  <c r="Q741" i="7" s="1"/>
  <c r="J800" i="7"/>
  <c r="I800" i="7"/>
  <c r="P733" i="7"/>
  <c r="Q733" i="7" s="1"/>
  <c r="J792" i="7"/>
  <c r="I792" i="7"/>
  <c r="P725" i="7"/>
  <c r="Q725" i="7" s="1"/>
  <c r="J784" i="7"/>
  <c r="I784" i="7"/>
  <c r="P717" i="7"/>
  <c r="Q717" i="7" s="1"/>
  <c r="J776" i="7"/>
  <c r="I776" i="7"/>
  <c r="P709" i="7"/>
  <c r="Q709" i="7" s="1"/>
  <c r="J768" i="7"/>
  <c r="I768" i="7"/>
  <c r="P701" i="7"/>
  <c r="Q701" i="7" s="1"/>
  <c r="J760" i="7"/>
  <c r="I760" i="7"/>
  <c r="P693" i="7"/>
  <c r="Q693" i="7" s="1"/>
  <c r="J752" i="7"/>
  <c r="I752" i="7"/>
  <c r="P685" i="7"/>
  <c r="Q685" i="7" s="1"/>
  <c r="J744" i="7"/>
  <c r="I744" i="7"/>
  <c r="P677" i="7"/>
  <c r="Q677" i="7" s="1"/>
  <c r="J736" i="7"/>
  <c r="I736" i="7"/>
  <c r="P669" i="7"/>
  <c r="Q669" i="7" s="1"/>
  <c r="J728" i="7"/>
  <c r="I728" i="7"/>
  <c r="P661" i="7"/>
  <c r="Q661" i="7" s="1"/>
  <c r="J720" i="7"/>
  <c r="I720" i="7"/>
  <c r="P653" i="7"/>
  <c r="Q653" i="7" s="1"/>
  <c r="J712" i="7"/>
  <c r="I712" i="7"/>
  <c r="P645" i="7"/>
  <c r="Q645" i="7" s="1"/>
  <c r="J704" i="7"/>
  <c r="I704" i="7"/>
  <c r="P637" i="7"/>
  <c r="Q637" i="7" s="1"/>
  <c r="J696" i="7"/>
  <c r="I696" i="7"/>
  <c r="P629" i="7"/>
  <c r="Q629" i="7" s="1"/>
  <c r="J688" i="7"/>
  <c r="I688" i="7"/>
  <c r="P621" i="7"/>
  <c r="Q621" i="7" s="1"/>
  <c r="J680" i="7"/>
  <c r="I680" i="7"/>
  <c r="P613" i="7"/>
  <c r="Q613" i="7" s="1"/>
  <c r="J672" i="7"/>
  <c r="I672" i="7"/>
  <c r="P605" i="7"/>
  <c r="Q605" i="7" s="1"/>
  <c r="J664" i="7"/>
  <c r="I664" i="7"/>
  <c r="P597" i="7"/>
  <c r="Q597" i="7" s="1"/>
  <c r="J656" i="7"/>
  <c r="I656" i="7"/>
  <c r="P589" i="7"/>
  <c r="Q589" i="7" s="1"/>
  <c r="J648" i="7"/>
  <c r="I648" i="7"/>
  <c r="P581" i="7"/>
  <c r="Q581" i="7" s="1"/>
  <c r="J640" i="7"/>
  <c r="I640" i="7"/>
  <c r="P573" i="7"/>
  <c r="Q573" i="7" s="1"/>
  <c r="J632" i="7"/>
  <c r="I632" i="7"/>
  <c r="P565" i="7"/>
  <c r="Q565" i="7" s="1"/>
  <c r="J624" i="7"/>
  <c r="I624" i="7"/>
  <c r="P557" i="7"/>
  <c r="Q557" i="7" s="1"/>
  <c r="J616" i="7"/>
  <c r="I616" i="7"/>
  <c r="P549" i="7"/>
  <c r="Q549" i="7" s="1"/>
  <c r="J608" i="7"/>
  <c r="I608" i="7"/>
  <c r="P541" i="7"/>
  <c r="Q541" i="7" s="1"/>
  <c r="J600" i="7"/>
  <c r="I600" i="7"/>
  <c r="P533" i="7"/>
  <c r="Q533" i="7" s="1"/>
  <c r="J592" i="7"/>
  <c r="I592" i="7"/>
  <c r="P525" i="7"/>
  <c r="Q525" i="7" s="1"/>
  <c r="J584" i="7"/>
  <c r="I584" i="7"/>
  <c r="P517" i="7"/>
  <c r="Q517" i="7" s="1"/>
  <c r="J576" i="7"/>
  <c r="I576" i="7"/>
  <c r="P509" i="7"/>
  <c r="Q509" i="7" s="1"/>
  <c r="J568" i="7"/>
  <c r="I568" i="7"/>
  <c r="P501" i="7"/>
  <c r="Q501" i="7" s="1"/>
  <c r="J560" i="7"/>
  <c r="I560" i="7"/>
  <c r="P493" i="7"/>
  <c r="Q493" i="7" s="1"/>
  <c r="J552" i="7"/>
  <c r="I552" i="7"/>
  <c r="P485" i="7"/>
  <c r="Q485" i="7" s="1"/>
  <c r="J544" i="7"/>
  <c r="I544" i="7"/>
  <c r="P477" i="7"/>
  <c r="Q477" i="7" s="1"/>
  <c r="J536" i="7"/>
  <c r="I536" i="7"/>
  <c r="P469" i="7"/>
  <c r="Q469" i="7" s="1"/>
  <c r="J528" i="7"/>
  <c r="I528" i="7"/>
  <c r="P461" i="7"/>
  <c r="Q461" i="7" s="1"/>
  <c r="J520" i="7"/>
  <c r="I520" i="7"/>
  <c r="P453" i="7"/>
  <c r="Q453" i="7" s="1"/>
  <c r="J512" i="7"/>
  <c r="I512" i="7"/>
  <c r="P445" i="7"/>
  <c r="Q445" i="7" s="1"/>
  <c r="J504" i="7"/>
  <c r="I504" i="7"/>
  <c r="P437" i="7"/>
  <c r="Q437" i="7" s="1"/>
  <c r="J496" i="7"/>
  <c r="I496" i="7"/>
  <c r="P429" i="7"/>
  <c r="Q429" i="7" s="1"/>
  <c r="J488" i="7"/>
  <c r="I488" i="7"/>
  <c r="P421" i="7"/>
  <c r="Q421" i="7" s="1"/>
  <c r="J480" i="7"/>
  <c r="I480" i="7"/>
  <c r="P413" i="7"/>
  <c r="Q413" i="7" s="1"/>
  <c r="J472" i="7"/>
  <c r="I472" i="7"/>
  <c r="P405" i="7"/>
  <c r="Q405" i="7" s="1"/>
  <c r="J464" i="7"/>
  <c r="I464" i="7"/>
  <c r="P397" i="7"/>
  <c r="Q397" i="7" s="1"/>
  <c r="J456" i="7"/>
  <c r="I456" i="7"/>
  <c r="P389" i="7"/>
  <c r="Q389" i="7" s="1"/>
  <c r="J448" i="7"/>
  <c r="I448" i="7"/>
  <c r="P381" i="7"/>
  <c r="Q381" i="7" s="1"/>
  <c r="J440" i="7"/>
  <c r="I440" i="7"/>
  <c r="P373" i="7"/>
  <c r="Q373" i="7" s="1"/>
  <c r="J432" i="7"/>
  <c r="I432" i="7"/>
  <c r="P365" i="7"/>
  <c r="Q365" i="7" s="1"/>
  <c r="J424" i="7"/>
  <c r="I424" i="7"/>
  <c r="P357" i="7"/>
  <c r="Q357" i="7" s="1"/>
  <c r="J416" i="7"/>
  <c r="I416" i="7"/>
  <c r="P349" i="7"/>
  <c r="Q349" i="7" s="1"/>
  <c r="J408" i="7"/>
  <c r="I408" i="7"/>
  <c r="P341" i="7"/>
  <c r="Q341" i="7" s="1"/>
  <c r="J400" i="7"/>
  <c r="I400" i="7"/>
  <c r="P333" i="7"/>
  <c r="Q333" i="7" s="1"/>
  <c r="J392" i="7"/>
  <c r="I392" i="7"/>
  <c r="P325" i="7"/>
  <c r="Q325" i="7" s="1"/>
  <c r="J384" i="7"/>
  <c r="I384" i="7"/>
  <c r="P317" i="7"/>
  <c r="Q317" i="7" s="1"/>
  <c r="J376" i="7"/>
  <c r="I376" i="7"/>
  <c r="P309" i="7"/>
  <c r="Q309" i="7" s="1"/>
  <c r="J368" i="7"/>
  <c r="I368" i="7"/>
  <c r="P301" i="7"/>
  <c r="Q301" i="7" s="1"/>
  <c r="J360" i="7"/>
  <c r="I360" i="7"/>
  <c r="P293" i="7"/>
  <c r="Q293" i="7" s="1"/>
  <c r="J352" i="7"/>
  <c r="I352" i="7"/>
  <c r="P285" i="7"/>
  <c r="Q285" i="7" s="1"/>
  <c r="J344" i="7"/>
  <c r="I344" i="7"/>
  <c r="P277" i="7"/>
  <c r="Q277" i="7" s="1"/>
  <c r="J336" i="7"/>
  <c r="I336" i="7"/>
  <c r="P269" i="7"/>
  <c r="Q269" i="7" s="1"/>
  <c r="J328" i="7"/>
  <c r="I328" i="7"/>
  <c r="P261" i="7"/>
  <c r="Q261" i="7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E530" i="7"/>
  <c r="E562" i="7"/>
  <c r="E594" i="7"/>
  <c r="E626" i="7"/>
  <c r="E658" i="7"/>
  <c r="G658" i="7" s="1"/>
  <c r="E690" i="7"/>
  <c r="E722" i="7"/>
  <c r="E754" i="7"/>
  <c r="E786" i="7"/>
  <c r="E818" i="7"/>
  <c r="E850" i="7"/>
  <c r="E882" i="7"/>
  <c r="G882" i="7" s="1"/>
  <c r="E914" i="7"/>
  <c r="E946" i="7"/>
  <c r="E978" i="7"/>
  <c r="E1010" i="7"/>
  <c r="E1042" i="7"/>
  <c r="E1074" i="7"/>
  <c r="E419" i="7"/>
  <c r="G419" i="7" s="1"/>
  <c r="E467" i="7"/>
  <c r="E889" i="7"/>
  <c r="E1106" i="7"/>
  <c r="E452" i="7"/>
  <c r="E841" i="7"/>
  <c r="G841" i="7" s="1"/>
  <c r="E1033" i="7"/>
  <c r="E445" i="7"/>
  <c r="G445" i="7" s="1"/>
  <c r="E713" i="7"/>
  <c r="E1041" i="7"/>
  <c r="E905" i="7"/>
  <c r="E1097" i="7"/>
  <c r="E1025" i="7"/>
  <c r="E1009" i="7"/>
  <c r="E401" i="7"/>
  <c r="E441" i="7"/>
  <c r="E481" i="7"/>
  <c r="E521" i="7"/>
  <c r="E553" i="7"/>
  <c r="E585" i="7"/>
  <c r="E617" i="7"/>
  <c r="E649" i="7"/>
  <c r="E729" i="7"/>
  <c r="F761" i="7"/>
  <c r="F793" i="7"/>
  <c r="G793" i="7" s="1"/>
  <c r="F825" i="7"/>
  <c r="E913" i="7"/>
  <c r="E1098" i="7"/>
  <c r="P1036" i="7"/>
  <c r="Q1036" i="7" s="1"/>
  <c r="J1095" i="7"/>
  <c r="I1095" i="7"/>
  <c r="P1020" i="7"/>
  <c r="Q1020" i="7" s="1"/>
  <c r="J1079" i="7"/>
  <c r="I1079" i="7"/>
  <c r="P1004" i="7"/>
  <c r="Q1004" i="7" s="1"/>
  <c r="J1063" i="7"/>
  <c r="I1063" i="7"/>
  <c r="P988" i="7"/>
  <c r="Q988" i="7" s="1"/>
  <c r="J1047" i="7"/>
  <c r="I1047" i="7"/>
  <c r="P972" i="7"/>
  <c r="Q972" i="7" s="1"/>
  <c r="J1031" i="7"/>
  <c r="I1031" i="7"/>
  <c r="P956" i="7"/>
  <c r="Q956" i="7" s="1"/>
  <c r="J1015" i="7"/>
  <c r="I1015" i="7"/>
  <c r="P940" i="7"/>
  <c r="Q940" i="7" s="1"/>
  <c r="J999" i="7"/>
  <c r="I999" i="7"/>
  <c r="P924" i="7"/>
  <c r="Q924" i="7" s="1"/>
  <c r="J983" i="7"/>
  <c r="I983" i="7"/>
  <c r="P908" i="7"/>
  <c r="Q908" i="7" s="1"/>
  <c r="R908" i="7" s="1"/>
  <c r="J967" i="7"/>
  <c r="I967" i="7"/>
  <c r="P892" i="7"/>
  <c r="Q892" i="7" s="1"/>
  <c r="J951" i="7"/>
  <c r="I951" i="7"/>
  <c r="P876" i="7"/>
  <c r="Q876" i="7" s="1"/>
  <c r="J935" i="7"/>
  <c r="I935" i="7"/>
  <c r="P860" i="7"/>
  <c r="Q860" i="7" s="1"/>
  <c r="J919" i="7"/>
  <c r="I919" i="7"/>
  <c r="P844" i="7"/>
  <c r="Q844" i="7" s="1"/>
  <c r="J903" i="7"/>
  <c r="I903" i="7"/>
  <c r="P828" i="7"/>
  <c r="Q828" i="7" s="1"/>
  <c r="J887" i="7"/>
  <c r="I887" i="7"/>
  <c r="P812" i="7"/>
  <c r="Q812" i="7" s="1"/>
  <c r="J871" i="7"/>
  <c r="I871" i="7"/>
  <c r="P796" i="7"/>
  <c r="Q796" i="7" s="1"/>
  <c r="R796" i="7" s="1"/>
  <c r="J855" i="7"/>
  <c r="I855" i="7"/>
  <c r="P780" i="7"/>
  <c r="Q780" i="7" s="1"/>
  <c r="J839" i="7"/>
  <c r="I839" i="7"/>
  <c r="P764" i="7"/>
  <c r="Q764" i="7" s="1"/>
  <c r="J823" i="7"/>
  <c r="I823" i="7"/>
  <c r="P748" i="7"/>
  <c r="Q748" i="7" s="1"/>
  <c r="J807" i="7"/>
  <c r="I807" i="7"/>
  <c r="P732" i="7"/>
  <c r="Q732" i="7" s="1"/>
  <c r="J791" i="7"/>
  <c r="I791" i="7"/>
  <c r="P716" i="7"/>
  <c r="Q716" i="7" s="1"/>
  <c r="J775" i="7"/>
  <c r="I775" i="7"/>
  <c r="P692" i="7"/>
  <c r="Q692" i="7" s="1"/>
  <c r="J751" i="7"/>
  <c r="I751" i="7"/>
  <c r="P676" i="7"/>
  <c r="Q676" i="7" s="1"/>
  <c r="J735" i="7"/>
  <c r="I735" i="7"/>
  <c r="P660" i="7"/>
  <c r="Q660" i="7" s="1"/>
  <c r="R660" i="7" s="1"/>
  <c r="J719" i="7"/>
  <c r="I719" i="7"/>
  <c r="P644" i="7"/>
  <c r="Q644" i="7" s="1"/>
  <c r="J703" i="7"/>
  <c r="I703" i="7"/>
  <c r="P628" i="7"/>
  <c r="Q628" i="7" s="1"/>
  <c r="J687" i="7"/>
  <c r="I687" i="7"/>
  <c r="P612" i="7"/>
  <c r="Q612" i="7" s="1"/>
  <c r="J671" i="7"/>
  <c r="I671" i="7"/>
  <c r="P596" i="7"/>
  <c r="Q596" i="7" s="1"/>
  <c r="R596" i="7" s="1"/>
  <c r="J655" i="7"/>
  <c r="I655" i="7"/>
  <c r="P580" i="7"/>
  <c r="Q580" i="7" s="1"/>
  <c r="J639" i="7"/>
  <c r="I639" i="7"/>
  <c r="P564" i="7"/>
  <c r="Q564" i="7" s="1"/>
  <c r="J623" i="7"/>
  <c r="I623" i="7"/>
  <c r="P548" i="7"/>
  <c r="Q548" i="7" s="1"/>
  <c r="J607" i="7"/>
  <c r="I607" i="7"/>
  <c r="P532" i="7"/>
  <c r="Q532" i="7" s="1"/>
  <c r="R532" i="7" s="1"/>
  <c r="J591" i="7"/>
  <c r="I591" i="7"/>
  <c r="P516" i="7"/>
  <c r="Q516" i="7" s="1"/>
  <c r="J575" i="7"/>
  <c r="I575" i="7"/>
  <c r="P500" i="7"/>
  <c r="Q500" i="7" s="1"/>
  <c r="J559" i="7"/>
  <c r="I559" i="7"/>
  <c r="P492" i="7"/>
  <c r="Q492" i="7" s="1"/>
  <c r="R492" i="7" s="1"/>
  <c r="J551" i="7"/>
  <c r="I551" i="7"/>
  <c r="P476" i="7"/>
  <c r="Q476" i="7" s="1"/>
  <c r="J535" i="7"/>
  <c r="I535" i="7"/>
  <c r="P460" i="7"/>
  <c r="Q460" i="7" s="1"/>
  <c r="J519" i="7"/>
  <c r="I519" i="7"/>
  <c r="P444" i="7"/>
  <c r="Q444" i="7" s="1"/>
  <c r="J503" i="7"/>
  <c r="I503" i="7"/>
  <c r="P428" i="7"/>
  <c r="Q428" i="7" s="1"/>
  <c r="J487" i="7"/>
  <c r="I487" i="7"/>
  <c r="P412" i="7"/>
  <c r="Q412" i="7" s="1"/>
  <c r="J471" i="7"/>
  <c r="I471" i="7"/>
  <c r="P396" i="7"/>
  <c r="Q396" i="7" s="1"/>
  <c r="J455" i="7"/>
  <c r="I455" i="7"/>
  <c r="P380" i="7"/>
  <c r="Q380" i="7" s="1"/>
  <c r="J439" i="7"/>
  <c r="I439" i="7"/>
  <c r="P364" i="7"/>
  <c r="Q364" i="7" s="1"/>
  <c r="J423" i="7"/>
  <c r="I423" i="7"/>
  <c r="P348" i="7"/>
  <c r="Q348" i="7" s="1"/>
  <c r="J407" i="7"/>
  <c r="I407" i="7"/>
  <c r="P340" i="7"/>
  <c r="Q340" i="7" s="1"/>
  <c r="J399" i="7"/>
  <c r="I399" i="7"/>
  <c r="P324" i="7"/>
  <c r="Q324" i="7" s="1"/>
  <c r="J383" i="7"/>
  <c r="I383" i="7"/>
  <c r="P308" i="7"/>
  <c r="Q308" i="7" s="1"/>
  <c r="J367" i="7"/>
  <c r="I367" i="7"/>
  <c r="P292" i="7"/>
  <c r="Q292" i="7" s="1"/>
  <c r="J351" i="7"/>
  <c r="I351" i="7"/>
  <c r="P276" i="7"/>
  <c r="Q276" i="7" s="1"/>
  <c r="J335" i="7"/>
  <c r="I335" i="7"/>
  <c r="P260" i="7"/>
  <c r="Q260" i="7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F112" i="7"/>
  <c r="E112" i="7"/>
  <c r="F216" i="7"/>
  <c r="E216" i="7"/>
  <c r="F280" i="7"/>
  <c r="E280" i="7"/>
  <c r="A4" i="6"/>
  <c r="A5" i="8" s="1"/>
  <c r="H3" i="4"/>
  <c r="I3" i="4"/>
  <c r="I4" i="4"/>
  <c r="H4" i="4"/>
  <c r="D5" i="4"/>
  <c r="C5" i="4"/>
  <c r="B5" i="4"/>
  <c r="E5" i="4"/>
  <c r="F5" i="4"/>
  <c r="G5" i="4"/>
  <c r="Q1166" i="7" l="1"/>
  <c r="J1166" i="8" s="1"/>
  <c r="L1167" i="7"/>
  <c r="M1167" i="7" s="1"/>
  <c r="J1167" i="8"/>
  <c r="K1165" i="7"/>
  <c r="E1167" i="7"/>
  <c r="F1167" i="7"/>
  <c r="C1166" i="6"/>
  <c r="D1166" i="6" s="1"/>
  <c r="K1166" i="7"/>
  <c r="E1166" i="7"/>
  <c r="F1166" i="7"/>
  <c r="C1165" i="6"/>
  <c r="D1165" i="6" s="1"/>
  <c r="K1166" i="8" s="1"/>
  <c r="L1166" i="7"/>
  <c r="K1164" i="7"/>
  <c r="Q1165" i="7"/>
  <c r="J1165" i="8" s="1"/>
  <c r="C1164" i="6"/>
  <c r="D1164" i="6" s="1"/>
  <c r="E1165" i="7"/>
  <c r="F1165" i="7"/>
  <c r="L1165" i="7"/>
  <c r="L1163" i="7"/>
  <c r="M1163" i="7" s="1"/>
  <c r="Q1159" i="7"/>
  <c r="R1159" i="7" s="1"/>
  <c r="C1159" i="8" s="1"/>
  <c r="K1161" i="7"/>
  <c r="Q1164" i="7"/>
  <c r="R1164" i="7" s="1"/>
  <c r="C1164" i="8" s="1"/>
  <c r="L1160" i="7"/>
  <c r="E1164" i="7"/>
  <c r="F1164" i="7"/>
  <c r="F1163" i="7"/>
  <c r="L1164" i="7"/>
  <c r="Q1160" i="7"/>
  <c r="R1160" i="7" s="1"/>
  <c r="C1160" i="8" s="1"/>
  <c r="C1163" i="6"/>
  <c r="D1163" i="6" s="1"/>
  <c r="K1160" i="7"/>
  <c r="F1161" i="7"/>
  <c r="Q1161" i="7"/>
  <c r="J1161" i="8" s="1"/>
  <c r="E1163" i="7"/>
  <c r="Q1163" i="7"/>
  <c r="J1163" i="8" s="1"/>
  <c r="Q1162" i="7"/>
  <c r="R1162" i="7" s="1"/>
  <c r="C1162" i="8" s="1"/>
  <c r="K1162" i="7"/>
  <c r="E1161" i="7"/>
  <c r="L1161" i="7"/>
  <c r="L1162" i="7"/>
  <c r="E1162" i="7"/>
  <c r="F1162" i="7"/>
  <c r="C1162" i="6"/>
  <c r="D1162" i="6" s="1"/>
  <c r="K1163" i="8" s="1"/>
  <c r="E1160" i="7"/>
  <c r="F1160" i="7"/>
  <c r="C1161" i="6"/>
  <c r="D1161" i="6" s="1"/>
  <c r="K1162" i="8" s="1"/>
  <c r="C1160" i="6"/>
  <c r="D1160" i="6" s="1"/>
  <c r="K1161" i="8" s="1"/>
  <c r="C1159" i="6"/>
  <c r="D1159" i="6" s="1"/>
  <c r="K1160" i="8" s="1"/>
  <c r="L1157" i="7"/>
  <c r="C1158" i="6"/>
  <c r="D1158" i="6" s="1"/>
  <c r="K1159" i="8" s="1"/>
  <c r="E1159" i="7"/>
  <c r="F1159" i="7"/>
  <c r="K1159" i="7"/>
  <c r="L1159" i="7"/>
  <c r="Q1158" i="7"/>
  <c r="R1158" i="7" s="1"/>
  <c r="C1158" i="8" s="1"/>
  <c r="Q1157" i="7"/>
  <c r="R1157" i="7" s="1"/>
  <c r="C1157" i="8" s="1"/>
  <c r="K1158" i="7"/>
  <c r="L1158" i="7"/>
  <c r="F1158" i="7"/>
  <c r="K1156" i="7"/>
  <c r="E1158" i="7"/>
  <c r="E1157" i="7"/>
  <c r="G1157" i="7" s="1"/>
  <c r="C1156" i="6"/>
  <c r="D1156" i="6" s="1"/>
  <c r="K1157" i="8" s="1"/>
  <c r="C1157" i="6"/>
  <c r="D1157" i="6" s="1"/>
  <c r="K1158" i="8" s="1"/>
  <c r="K1157" i="7"/>
  <c r="Q1156" i="7"/>
  <c r="J1156" i="8" s="1"/>
  <c r="E1156" i="7"/>
  <c r="F1156" i="7"/>
  <c r="C1155" i="6"/>
  <c r="D1155" i="6" s="1"/>
  <c r="K1156" i="8" s="1"/>
  <c r="L1156" i="7"/>
  <c r="F1155" i="7"/>
  <c r="Q1155" i="7"/>
  <c r="R1155" i="7" s="1"/>
  <c r="C1155" i="8" s="1"/>
  <c r="E1155" i="7"/>
  <c r="L1155" i="7"/>
  <c r="L1154" i="7"/>
  <c r="C1154" i="6"/>
  <c r="D1154" i="6" s="1"/>
  <c r="K1155" i="8" s="1"/>
  <c r="K1155" i="7"/>
  <c r="Q1154" i="7"/>
  <c r="J1154" i="8" s="1"/>
  <c r="C1153" i="6"/>
  <c r="D1153" i="6" s="1"/>
  <c r="K1154" i="8" s="1"/>
  <c r="K1154" i="7"/>
  <c r="E1154" i="7"/>
  <c r="F1154" i="7"/>
  <c r="Q1153" i="7"/>
  <c r="J1153" i="8" s="1"/>
  <c r="J476" i="8"/>
  <c r="R476" i="7"/>
  <c r="C476" i="8" s="1"/>
  <c r="R437" i="7"/>
  <c r="C437" i="8" s="1"/>
  <c r="R949" i="7"/>
  <c r="C949" i="8" s="1"/>
  <c r="R751" i="7"/>
  <c r="C751" i="8" s="1"/>
  <c r="R358" i="7"/>
  <c r="C358" i="8" s="1"/>
  <c r="R742" i="7"/>
  <c r="C742" i="8" s="1"/>
  <c r="R1015" i="7"/>
  <c r="C1015" i="8" s="1"/>
  <c r="R408" i="7"/>
  <c r="C408" i="8" s="1"/>
  <c r="R265" i="7"/>
  <c r="C265" i="8" s="1"/>
  <c r="J713" i="8"/>
  <c r="R713" i="7"/>
  <c r="C713" i="8" s="1"/>
  <c r="R314" i="7"/>
  <c r="C314" i="8" s="1"/>
  <c r="R946" i="7"/>
  <c r="C946" i="8" s="1"/>
  <c r="J786" i="8"/>
  <c r="R786" i="7"/>
  <c r="C786" i="8" s="1"/>
  <c r="J435" i="8"/>
  <c r="R435" i="7"/>
  <c r="C435" i="8" s="1"/>
  <c r="J819" i="8"/>
  <c r="R819" i="7"/>
  <c r="C819" i="8" s="1"/>
  <c r="J1075" i="8"/>
  <c r="R1075" i="7"/>
  <c r="C1075" i="8" s="1"/>
  <c r="R396" i="7"/>
  <c r="C396" i="8" s="1"/>
  <c r="R516" i="7"/>
  <c r="C516" i="8" s="1"/>
  <c r="C646" i="8"/>
  <c r="R644" i="7"/>
  <c r="C644" i="8" s="1"/>
  <c r="J780" i="8"/>
  <c r="R780" i="7"/>
  <c r="C780" i="8" s="1"/>
  <c r="R1036" i="7"/>
  <c r="C1036" i="8" s="1"/>
  <c r="R269" i="7"/>
  <c r="C269" i="8" s="1"/>
  <c r="J333" i="8"/>
  <c r="R333" i="7"/>
  <c r="C333" i="8" s="1"/>
  <c r="R397" i="7"/>
  <c r="C397" i="8" s="1"/>
  <c r="R461" i="7"/>
  <c r="C461" i="8" s="1"/>
  <c r="R525" i="7"/>
  <c r="C525" i="8" s="1"/>
  <c r="J589" i="8"/>
  <c r="R589" i="7"/>
  <c r="C589" i="8" s="1"/>
  <c r="R653" i="7"/>
  <c r="C653" i="8" s="1"/>
  <c r="R717" i="7"/>
  <c r="C717" i="8" s="1"/>
  <c r="R781" i="7"/>
  <c r="C781" i="8" s="1"/>
  <c r="J845" i="8"/>
  <c r="R845" i="7"/>
  <c r="C845" i="8" s="1"/>
  <c r="J909" i="8"/>
  <c r="R909" i="7"/>
  <c r="C909" i="8" s="1"/>
  <c r="J973" i="8"/>
  <c r="R973" i="7"/>
  <c r="C973" i="8" s="1"/>
  <c r="R1037" i="7"/>
  <c r="C1037" i="8" s="1"/>
  <c r="J1085" i="8"/>
  <c r="R1085" i="7"/>
  <c r="C1085" i="8" s="1"/>
  <c r="R870" i="7"/>
  <c r="C870" i="8" s="1"/>
  <c r="R990" i="7"/>
  <c r="C990" i="8" s="1"/>
  <c r="R263" i="7"/>
  <c r="C263" i="8" s="1"/>
  <c r="J463" i="8"/>
  <c r="R463" i="7"/>
  <c r="C463" i="8" s="1"/>
  <c r="R631" i="7"/>
  <c r="C631" i="8" s="1"/>
  <c r="R823" i="7"/>
  <c r="C823" i="8" s="1"/>
  <c r="R999" i="7"/>
  <c r="C999" i="8" s="1"/>
  <c r="J496" i="8"/>
  <c r="R496" i="7"/>
  <c r="C496" i="8" s="1"/>
  <c r="R744" i="7"/>
  <c r="C744" i="8" s="1"/>
  <c r="R1000" i="7"/>
  <c r="C1000" i="8" s="1"/>
  <c r="R318" i="7"/>
  <c r="C318" i="8" s="1"/>
  <c r="J838" i="8"/>
  <c r="R838" i="7"/>
  <c r="C838" i="8" s="1"/>
  <c r="R942" i="7"/>
  <c r="C942" i="8" s="1"/>
  <c r="R1054" i="7"/>
  <c r="C1054" i="8" s="1"/>
  <c r="R279" i="7"/>
  <c r="C279" i="8" s="1"/>
  <c r="J487" i="8"/>
  <c r="R487" i="7"/>
  <c r="C487" i="8" s="1"/>
  <c r="R687" i="7"/>
  <c r="C687" i="8" s="1"/>
  <c r="R895" i="7"/>
  <c r="C895" i="8" s="1"/>
  <c r="R384" i="7"/>
  <c r="C384" i="8" s="1"/>
  <c r="R616" i="7"/>
  <c r="C616" i="8" s="1"/>
  <c r="J872" i="8"/>
  <c r="R872" i="7"/>
  <c r="C872" i="8" s="1"/>
  <c r="R359" i="7"/>
  <c r="C359" i="8" s="1"/>
  <c r="R543" i="7"/>
  <c r="C543" i="8" s="1"/>
  <c r="R743" i="7"/>
  <c r="C743" i="8" s="1"/>
  <c r="R935" i="7"/>
  <c r="C935" i="8" s="1"/>
  <c r="R504" i="7"/>
  <c r="C504" i="8" s="1"/>
  <c r="J752" i="8"/>
  <c r="R752" i="7"/>
  <c r="C752" i="8" s="1"/>
  <c r="J1008" i="8"/>
  <c r="R1008" i="7"/>
  <c r="C1008" i="8" s="1"/>
  <c r="R392" i="7"/>
  <c r="C392" i="8" s="1"/>
  <c r="J672" i="8"/>
  <c r="R672" i="7"/>
  <c r="C672" i="8" s="1"/>
  <c r="R928" i="7"/>
  <c r="C928" i="8" s="1"/>
  <c r="R289" i="7"/>
  <c r="C289" i="8" s="1"/>
  <c r="R353" i="7"/>
  <c r="C353" i="8" s="1"/>
  <c r="R417" i="7"/>
  <c r="C417" i="8" s="1"/>
  <c r="R481" i="7"/>
  <c r="C481" i="8" s="1"/>
  <c r="R545" i="7"/>
  <c r="C545" i="8" s="1"/>
  <c r="R609" i="7"/>
  <c r="C609" i="8" s="1"/>
  <c r="R673" i="7"/>
  <c r="C673" i="8" s="1"/>
  <c r="R737" i="7"/>
  <c r="C737" i="8" s="1"/>
  <c r="R801" i="7"/>
  <c r="C801" i="8" s="1"/>
  <c r="J865" i="8"/>
  <c r="R865" i="7"/>
  <c r="C865" i="8" s="1"/>
  <c r="R929" i="7"/>
  <c r="C929" i="8" s="1"/>
  <c r="R993" i="7"/>
  <c r="C993" i="8" s="1"/>
  <c r="R1089" i="7"/>
  <c r="C1089" i="8" s="1"/>
  <c r="R362" i="7"/>
  <c r="C362" i="8" s="1"/>
  <c r="C492" i="8"/>
  <c r="R490" i="7"/>
  <c r="C490" i="8" s="1"/>
  <c r="R618" i="7"/>
  <c r="C618" i="8" s="1"/>
  <c r="R746" i="7"/>
  <c r="C746" i="8" s="1"/>
  <c r="R866" i="7"/>
  <c r="C866" i="8" s="1"/>
  <c r="J986" i="8"/>
  <c r="R986" i="7"/>
  <c r="C986" i="8" s="1"/>
  <c r="J322" i="8"/>
  <c r="R322" i="7"/>
  <c r="C322" i="8" s="1"/>
  <c r="R450" i="7"/>
  <c r="C450" i="8" s="1"/>
  <c r="R578" i="7"/>
  <c r="C578" i="8" s="1"/>
  <c r="R706" i="7"/>
  <c r="C706" i="8" s="1"/>
  <c r="R842" i="7"/>
  <c r="C842" i="8" s="1"/>
  <c r="R970" i="7"/>
  <c r="C970" i="8" s="1"/>
  <c r="R267" i="7"/>
  <c r="C267" i="8" s="1"/>
  <c r="R331" i="7"/>
  <c r="C331" i="8" s="1"/>
  <c r="R395" i="7"/>
  <c r="C395" i="8" s="1"/>
  <c r="R459" i="7"/>
  <c r="C459" i="8" s="1"/>
  <c r="R523" i="7"/>
  <c r="C523" i="8" s="1"/>
  <c r="R587" i="7"/>
  <c r="C587" i="8" s="1"/>
  <c r="R651" i="7"/>
  <c r="C651" i="8" s="1"/>
  <c r="R715" i="7"/>
  <c r="C715" i="8" s="1"/>
  <c r="R779" i="7"/>
  <c r="C779" i="8" s="1"/>
  <c r="R843" i="7"/>
  <c r="C843" i="8" s="1"/>
  <c r="R907" i="7"/>
  <c r="C907" i="8" s="1"/>
  <c r="R971" i="7"/>
  <c r="C971" i="8" s="1"/>
  <c r="J1035" i="8"/>
  <c r="R1035" i="7"/>
  <c r="C1035" i="8" s="1"/>
  <c r="R1083" i="7"/>
  <c r="C1083" i="8" s="1"/>
  <c r="R316" i="7"/>
  <c r="C316" i="8" s="1"/>
  <c r="R452" i="7"/>
  <c r="C452" i="8" s="1"/>
  <c r="R588" i="7"/>
  <c r="C588" i="8" s="1"/>
  <c r="R708" i="7"/>
  <c r="C708" i="8" s="1"/>
  <c r="R836" i="7"/>
  <c r="C836" i="8" s="1"/>
  <c r="R964" i="7"/>
  <c r="C964" i="8" s="1"/>
  <c r="R1084" i="7"/>
  <c r="C1084" i="8" s="1"/>
  <c r="R1107" i="7"/>
  <c r="C1107" i="8" s="1"/>
  <c r="R860" i="7"/>
  <c r="C860" i="8" s="1"/>
  <c r="R693" i="7"/>
  <c r="C693" i="8" s="1"/>
  <c r="R950" i="7"/>
  <c r="C950" i="8" s="1"/>
  <c r="R656" i="7"/>
  <c r="C656" i="8" s="1"/>
  <c r="R614" i="7"/>
  <c r="C614" i="8" s="1"/>
  <c r="R815" i="7"/>
  <c r="C815" i="8" s="1"/>
  <c r="R295" i="7"/>
  <c r="C295" i="8" s="1"/>
  <c r="J920" i="8"/>
  <c r="R920" i="7"/>
  <c r="C920" i="8" s="1"/>
  <c r="R521" i="7"/>
  <c r="C521" i="8" s="1"/>
  <c r="R969" i="7"/>
  <c r="C969" i="8" s="1"/>
  <c r="J570" i="8"/>
  <c r="R570" i="7"/>
  <c r="C570" i="8" s="1"/>
  <c r="R402" i="7"/>
  <c r="C402" i="8" s="1"/>
  <c r="R371" i="7"/>
  <c r="C371" i="8" s="1"/>
  <c r="R627" i="7"/>
  <c r="C627" i="8" s="1"/>
  <c r="R1011" i="7"/>
  <c r="C1011" i="8" s="1"/>
  <c r="R540" i="7"/>
  <c r="C540" i="8" s="1"/>
  <c r="R276" i="7"/>
  <c r="C276" i="8" s="1"/>
  <c r="C446" i="8"/>
  <c r="R444" i="7"/>
  <c r="C444" i="8" s="1"/>
  <c r="J564" i="8"/>
  <c r="R564" i="7"/>
  <c r="C564" i="8" s="1"/>
  <c r="R692" i="7"/>
  <c r="C692" i="8" s="1"/>
  <c r="C830" i="8"/>
  <c r="R828" i="7"/>
  <c r="C828" i="8" s="1"/>
  <c r="J956" i="8"/>
  <c r="R956" i="7"/>
  <c r="C956" i="8" s="1"/>
  <c r="R293" i="7"/>
  <c r="C293" i="8" s="1"/>
  <c r="R357" i="7"/>
  <c r="C357" i="8" s="1"/>
  <c r="R421" i="7"/>
  <c r="C421" i="8" s="1"/>
  <c r="J485" i="8"/>
  <c r="R485" i="7"/>
  <c r="C485" i="8" s="1"/>
  <c r="R549" i="7"/>
  <c r="C549" i="8" s="1"/>
  <c r="R613" i="7"/>
  <c r="C613" i="8" s="1"/>
  <c r="R677" i="7"/>
  <c r="C677" i="8" s="1"/>
  <c r="J741" i="8"/>
  <c r="R741" i="7"/>
  <c r="C741" i="8" s="1"/>
  <c r="J805" i="8"/>
  <c r="R805" i="7"/>
  <c r="C805" i="8" s="1"/>
  <c r="R869" i="7"/>
  <c r="C869" i="8" s="1"/>
  <c r="R933" i="7"/>
  <c r="C933" i="8" s="1"/>
  <c r="R997" i="7"/>
  <c r="C997" i="8" s="1"/>
  <c r="R1093" i="7"/>
  <c r="C1093" i="8" s="1"/>
  <c r="R918" i="7"/>
  <c r="C918" i="8" s="1"/>
  <c r="R1030" i="7"/>
  <c r="C1030" i="8" s="1"/>
  <c r="J335" i="8"/>
  <c r="R335" i="7"/>
  <c r="C335" i="8" s="1"/>
  <c r="J527" i="8"/>
  <c r="R527" i="7"/>
  <c r="C527" i="8" s="1"/>
  <c r="R703" i="7"/>
  <c r="C703" i="8" s="1"/>
  <c r="R887" i="7"/>
  <c r="C887" i="8" s="1"/>
  <c r="R336" i="7"/>
  <c r="C336" i="8" s="1"/>
  <c r="J600" i="8"/>
  <c r="R600" i="7"/>
  <c r="C600" i="8" s="1"/>
  <c r="R840" i="7"/>
  <c r="C840" i="8" s="1"/>
  <c r="R278" i="7"/>
  <c r="C278" i="8" s="1"/>
  <c r="R342" i="7"/>
  <c r="C342" i="8" s="1"/>
  <c r="J406" i="8"/>
  <c r="R406" i="7"/>
  <c r="C406" i="8" s="1"/>
  <c r="R470" i="7"/>
  <c r="C470" i="8" s="1"/>
  <c r="R534" i="7"/>
  <c r="C534" i="8" s="1"/>
  <c r="R598" i="7"/>
  <c r="C598" i="8" s="1"/>
  <c r="R662" i="7"/>
  <c r="C662" i="8" s="1"/>
  <c r="R726" i="7"/>
  <c r="C726" i="8" s="1"/>
  <c r="R790" i="7"/>
  <c r="C790" i="8" s="1"/>
  <c r="R862" i="7"/>
  <c r="C862" i="8" s="1"/>
  <c r="J998" i="8"/>
  <c r="R998" i="7"/>
  <c r="C998" i="8" s="1"/>
  <c r="R1078" i="7"/>
  <c r="C1078" i="8" s="1"/>
  <c r="J351" i="8"/>
  <c r="R351" i="7"/>
  <c r="C351" i="8" s="1"/>
  <c r="R559" i="7"/>
  <c r="C559" i="8" s="1"/>
  <c r="J759" i="8"/>
  <c r="R759" i="7"/>
  <c r="C759" i="8" s="1"/>
  <c r="R967" i="7"/>
  <c r="C967" i="8" s="1"/>
  <c r="R456" i="7"/>
  <c r="C456" i="8" s="1"/>
  <c r="R720" i="7"/>
  <c r="C720" i="8" s="1"/>
  <c r="R984" i="7"/>
  <c r="C984" i="8" s="1"/>
  <c r="R423" i="7"/>
  <c r="C423" i="8" s="1"/>
  <c r="R615" i="7"/>
  <c r="C615" i="8" s="1"/>
  <c r="R807" i="7"/>
  <c r="C807" i="8" s="1"/>
  <c r="R1007" i="7"/>
  <c r="C1007" i="8" s="1"/>
  <c r="J344" i="8"/>
  <c r="R344" i="7"/>
  <c r="C344" i="8" s="1"/>
  <c r="J592" i="8"/>
  <c r="R592" i="7"/>
  <c r="C592" i="8" s="1"/>
  <c r="J856" i="8"/>
  <c r="R856" i="7"/>
  <c r="C856" i="8" s="1"/>
  <c r="J512" i="8"/>
  <c r="R512" i="7"/>
  <c r="C512" i="8" s="1"/>
  <c r="R760" i="7"/>
  <c r="C760" i="8" s="1"/>
  <c r="R1016" i="7"/>
  <c r="C1016" i="8" s="1"/>
  <c r="R313" i="7"/>
  <c r="C313" i="8" s="1"/>
  <c r="J377" i="8"/>
  <c r="R377" i="7"/>
  <c r="C377" i="8" s="1"/>
  <c r="R441" i="7"/>
  <c r="C441" i="8" s="1"/>
  <c r="J505" i="8"/>
  <c r="R505" i="7"/>
  <c r="C505" i="8" s="1"/>
  <c r="R569" i="7"/>
  <c r="C569" i="8" s="1"/>
  <c r="R633" i="7"/>
  <c r="C633" i="8" s="1"/>
  <c r="J697" i="8"/>
  <c r="R697" i="7"/>
  <c r="C697" i="8" s="1"/>
  <c r="R761" i="7"/>
  <c r="C761" i="8" s="1"/>
  <c r="R825" i="7"/>
  <c r="C825" i="8" s="1"/>
  <c r="R889" i="7"/>
  <c r="C889" i="8" s="1"/>
  <c r="R953" i="7"/>
  <c r="C953" i="8" s="1"/>
  <c r="R1017" i="7"/>
  <c r="C1017" i="8" s="1"/>
  <c r="J1097" i="8"/>
  <c r="R1097" i="7"/>
  <c r="C1097" i="8" s="1"/>
  <c r="R282" i="7"/>
  <c r="C282" i="8" s="1"/>
  <c r="J410" i="8"/>
  <c r="R410" i="7"/>
  <c r="C410" i="8" s="1"/>
  <c r="R538" i="7"/>
  <c r="C538" i="8" s="1"/>
  <c r="R666" i="7"/>
  <c r="C666" i="8" s="1"/>
  <c r="C796" i="8"/>
  <c r="R794" i="7"/>
  <c r="C794" i="8" s="1"/>
  <c r="R914" i="7"/>
  <c r="C914" i="8" s="1"/>
  <c r="R1034" i="7"/>
  <c r="C1034" i="8" s="1"/>
  <c r="R370" i="7"/>
  <c r="C370" i="8" s="1"/>
  <c r="R498" i="7"/>
  <c r="C498" i="8" s="1"/>
  <c r="J626" i="8"/>
  <c r="R626" i="7"/>
  <c r="C626" i="8" s="1"/>
  <c r="C756" i="8"/>
  <c r="R754" i="7"/>
  <c r="C754" i="8" s="1"/>
  <c r="J890" i="8"/>
  <c r="R890" i="7"/>
  <c r="C890" i="8" s="1"/>
  <c r="R1026" i="7"/>
  <c r="C1026" i="8" s="1"/>
  <c r="R291" i="7"/>
  <c r="C291" i="8" s="1"/>
  <c r="R355" i="7"/>
  <c r="C355" i="8" s="1"/>
  <c r="R419" i="7"/>
  <c r="C419" i="8" s="1"/>
  <c r="R483" i="7"/>
  <c r="C483" i="8" s="1"/>
  <c r="R547" i="7"/>
  <c r="C547" i="8" s="1"/>
  <c r="R611" i="7"/>
  <c r="C611" i="8" s="1"/>
  <c r="R675" i="7"/>
  <c r="C675" i="8" s="1"/>
  <c r="J739" i="8"/>
  <c r="R739" i="7"/>
  <c r="C739" i="8" s="1"/>
  <c r="J803" i="8"/>
  <c r="R803" i="7"/>
  <c r="C803" i="8" s="1"/>
  <c r="R867" i="7"/>
  <c r="C867" i="8" s="1"/>
  <c r="R931" i="7"/>
  <c r="C931" i="8" s="1"/>
  <c r="J995" i="8"/>
  <c r="R995" i="7"/>
  <c r="C995" i="8" s="1"/>
  <c r="R1091" i="7"/>
  <c r="C1091" i="8" s="1"/>
  <c r="R372" i="7"/>
  <c r="C372" i="8" s="1"/>
  <c r="C510" i="8"/>
  <c r="R508" i="7"/>
  <c r="C508" i="8" s="1"/>
  <c r="C638" i="8"/>
  <c r="R636" i="7"/>
  <c r="C636" i="8" s="1"/>
  <c r="J884" i="8"/>
  <c r="R884" i="7"/>
  <c r="C884" i="8" s="1"/>
  <c r="J1012" i="8"/>
  <c r="R1012" i="7"/>
  <c r="C1012" i="8" s="1"/>
  <c r="R1100" i="7"/>
  <c r="C1100" i="8" s="1"/>
  <c r="R1050" i="7"/>
  <c r="C1050" i="8" s="1"/>
  <c r="C350" i="8"/>
  <c r="R348" i="7"/>
  <c r="C348" i="8" s="1"/>
  <c r="R373" i="7"/>
  <c r="C373" i="8" s="1"/>
  <c r="J821" i="8"/>
  <c r="R821" i="7"/>
  <c r="C821" i="8" s="1"/>
  <c r="R391" i="7"/>
  <c r="C391" i="8" s="1"/>
  <c r="R422" i="7"/>
  <c r="C422" i="8" s="1"/>
  <c r="R407" i="7"/>
  <c r="C407" i="8" s="1"/>
  <c r="R471" i="7"/>
  <c r="C471" i="8" s="1"/>
  <c r="R576" i="7"/>
  <c r="C576" i="8" s="1"/>
  <c r="R585" i="7"/>
  <c r="C585" i="8" s="1"/>
  <c r="R1033" i="7"/>
  <c r="C1033" i="8" s="1"/>
  <c r="R274" i="7"/>
  <c r="C274" i="8" s="1"/>
  <c r="C660" i="8"/>
  <c r="R658" i="7"/>
  <c r="C658" i="8" s="1"/>
  <c r="J499" i="8"/>
  <c r="R499" i="7"/>
  <c r="C499" i="8" s="1"/>
  <c r="R755" i="7"/>
  <c r="C755" i="8" s="1"/>
  <c r="R268" i="7"/>
  <c r="C268" i="8" s="1"/>
  <c r="R324" i="7"/>
  <c r="C324" i="8" s="1"/>
  <c r="J364" i="8"/>
  <c r="R364" i="7"/>
  <c r="C364" i="8" s="1"/>
  <c r="R612" i="7"/>
  <c r="C612" i="8" s="1"/>
  <c r="J748" i="8"/>
  <c r="R748" i="7"/>
  <c r="C748" i="8" s="1"/>
  <c r="J876" i="8"/>
  <c r="R876" i="7"/>
  <c r="C876" i="8" s="1"/>
  <c r="R1004" i="7"/>
  <c r="C1004" i="8" s="1"/>
  <c r="R317" i="7"/>
  <c r="C317" i="8" s="1"/>
  <c r="R381" i="7"/>
  <c r="C381" i="8" s="1"/>
  <c r="R445" i="7"/>
  <c r="C445" i="8" s="1"/>
  <c r="R509" i="7"/>
  <c r="C509" i="8" s="1"/>
  <c r="R573" i="7"/>
  <c r="C573" i="8" s="1"/>
  <c r="R637" i="7"/>
  <c r="C637" i="8" s="1"/>
  <c r="R701" i="7"/>
  <c r="C701" i="8" s="1"/>
  <c r="R765" i="7"/>
  <c r="C765" i="8" s="1"/>
  <c r="R829" i="7"/>
  <c r="C829" i="8" s="1"/>
  <c r="J893" i="8"/>
  <c r="R893" i="7"/>
  <c r="C893" i="8" s="1"/>
  <c r="R957" i="7"/>
  <c r="C957" i="8" s="1"/>
  <c r="R1021" i="7"/>
  <c r="C1021" i="8" s="1"/>
  <c r="R1101" i="7"/>
  <c r="C1101" i="8" s="1"/>
  <c r="R958" i="7"/>
  <c r="C958" i="8" s="1"/>
  <c r="J415" i="8"/>
  <c r="R415" i="7"/>
  <c r="C415" i="8" s="1"/>
  <c r="R599" i="7"/>
  <c r="C599" i="8" s="1"/>
  <c r="R775" i="7"/>
  <c r="C775" i="8" s="1"/>
  <c r="R951" i="7"/>
  <c r="C951" i="8" s="1"/>
  <c r="R432" i="7"/>
  <c r="C432" i="8" s="1"/>
  <c r="R688" i="7"/>
  <c r="C688" i="8" s="1"/>
  <c r="R944" i="7"/>
  <c r="C944" i="8" s="1"/>
  <c r="R302" i="7"/>
  <c r="C302" i="8" s="1"/>
  <c r="R750" i="7"/>
  <c r="C750" i="8" s="1"/>
  <c r="R814" i="7"/>
  <c r="C814" i="8" s="1"/>
  <c r="J910" i="8"/>
  <c r="R910" i="7"/>
  <c r="C910" i="8" s="1"/>
  <c r="R1094" i="7"/>
  <c r="C1094" i="8" s="1"/>
  <c r="R431" i="7"/>
  <c r="C431" i="8" s="1"/>
  <c r="R639" i="7"/>
  <c r="C639" i="8" s="1"/>
  <c r="R847" i="7"/>
  <c r="C847" i="8" s="1"/>
  <c r="R1039" i="7"/>
  <c r="C1039" i="8" s="1"/>
  <c r="R320" i="7"/>
  <c r="C320" i="8" s="1"/>
  <c r="R552" i="7"/>
  <c r="C552" i="8" s="1"/>
  <c r="R824" i="7"/>
  <c r="C824" i="8" s="1"/>
  <c r="J319" i="8"/>
  <c r="R319" i="7"/>
  <c r="C319" i="8" s="1"/>
  <c r="R495" i="7"/>
  <c r="C495" i="8" s="1"/>
  <c r="R695" i="7"/>
  <c r="C695" i="8" s="1"/>
  <c r="R879" i="7"/>
  <c r="C879" i="8" s="1"/>
  <c r="J448" i="8"/>
  <c r="R448" i="7"/>
  <c r="C448" i="8" s="1"/>
  <c r="R696" i="7"/>
  <c r="C696" i="8" s="1"/>
  <c r="R952" i="7"/>
  <c r="C952" i="8" s="1"/>
  <c r="J328" i="8"/>
  <c r="R328" i="7"/>
  <c r="C328" i="8" s="1"/>
  <c r="R608" i="7"/>
  <c r="C608" i="8" s="1"/>
  <c r="R864" i="7"/>
  <c r="C864" i="8" s="1"/>
  <c r="R273" i="7"/>
  <c r="C273" i="8" s="1"/>
  <c r="R337" i="7"/>
  <c r="C337" i="8" s="1"/>
  <c r="R401" i="7"/>
  <c r="C401" i="8" s="1"/>
  <c r="R465" i="7"/>
  <c r="C465" i="8" s="1"/>
  <c r="R529" i="7"/>
  <c r="C529" i="8" s="1"/>
  <c r="R593" i="7"/>
  <c r="C593" i="8" s="1"/>
  <c r="R657" i="7"/>
  <c r="C657" i="8" s="1"/>
  <c r="J721" i="8"/>
  <c r="R721" i="7"/>
  <c r="C721" i="8" s="1"/>
  <c r="R785" i="7"/>
  <c r="C785" i="8" s="1"/>
  <c r="J849" i="8"/>
  <c r="R849" i="7"/>
  <c r="C849" i="8" s="1"/>
  <c r="R913" i="7"/>
  <c r="C913" i="8" s="1"/>
  <c r="R977" i="7"/>
  <c r="C977" i="8" s="1"/>
  <c r="R1041" i="7"/>
  <c r="C1041" i="8" s="1"/>
  <c r="R330" i="7"/>
  <c r="C330" i="8" s="1"/>
  <c r="R458" i="7"/>
  <c r="C458" i="8" s="1"/>
  <c r="J586" i="8"/>
  <c r="R586" i="7"/>
  <c r="C586" i="8" s="1"/>
  <c r="R714" i="7"/>
  <c r="C714" i="8" s="1"/>
  <c r="R834" i="7"/>
  <c r="C834" i="8" s="1"/>
  <c r="R962" i="7"/>
  <c r="C962" i="8" s="1"/>
  <c r="R290" i="7"/>
  <c r="C290" i="8" s="1"/>
  <c r="R418" i="7"/>
  <c r="C418" i="8" s="1"/>
  <c r="J546" i="8"/>
  <c r="R546" i="7"/>
  <c r="C546" i="8" s="1"/>
  <c r="R674" i="7"/>
  <c r="C674" i="8" s="1"/>
  <c r="R802" i="7"/>
  <c r="C802" i="8" s="1"/>
  <c r="R938" i="7"/>
  <c r="C938" i="8" s="1"/>
  <c r="J315" i="8"/>
  <c r="R315" i="7"/>
  <c r="C315" i="8" s="1"/>
  <c r="J379" i="8"/>
  <c r="R379" i="7"/>
  <c r="C379" i="8" s="1"/>
  <c r="R443" i="7"/>
  <c r="C443" i="8" s="1"/>
  <c r="J507" i="8"/>
  <c r="R507" i="7"/>
  <c r="C507" i="8" s="1"/>
  <c r="R571" i="7"/>
  <c r="C571" i="8" s="1"/>
  <c r="R635" i="7"/>
  <c r="C635" i="8" s="1"/>
  <c r="R699" i="7"/>
  <c r="C699" i="8" s="1"/>
  <c r="R763" i="7"/>
  <c r="C763" i="8" s="1"/>
  <c r="R827" i="7"/>
  <c r="C827" i="8" s="1"/>
  <c r="R891" i="7"/>
  <c r="C891" i="8" s="1"/>
  <c r="R955" i="7"/>
  <c r="C955" i="8" s="1"/>
  <c r="R1019" i="7"/>
  <c r="C1019" i="8" s="1"/>
  <c r="R1099" i="7"/>
  <c r="C1099" i="8" s="1"/>
  <c r="R284" i="7"/>
  <c r="C284" i="8" s="1"/>
  <c r="R420" i="7"/>
  <c r="C420" i="8" s="1"/>
  <c r="C686" i="8"/>
  <c r="R684" i="7"/>
  <c r="C684" i="8" s="1"/>
  <c r="R804" i="7"/>
  <c r="C804" i="8" s="1"/>
  <c r="R932" i="7"/>
  <c r="C932" i="8" s="1"/>
  <c r="J1060" i="8"/>
  <c r="R1060" i="7"/>
  <c r="C1060" i="8" s="1"/>
  <c r="R1064" i="7"/>
  <c r="C1064" i="8" s="1"/>
  <c r="J1066" i="8"/>
  <c r="R1066" i="7"/>
  <c r="C1066" i="8" s="1"/>
  <c r="Q1142" i="7"/>
  <c r="R1142" i="7" s="1"/>
  <c r="C734" i="8"/>
  <c r="R732" i="7"/>
  <c r="C732" i="8" s="1"/>
  <c r="J565" i="8"/>
  <c r="R565" i="7"/>
  <c r="C565" i="8" s="1"/>
  <c r="R1013" i="7"/>
  <c r="C1013" i="8" s="1"/>
  <c r="R400" i="7"/>
  <c r="C400" i="8" s="1"/>
  <c r="R550" i="7"/>
  <c r="C550" i="8" s="1"/>
  <c r="R894" i="7"/>
  <c r="C894" i="8" s="1"/>
  <c r="R800" i="7"/>
  <c r="C800" i="8" s="1"/>
  <c r="R664" i="7"/>
  <c r="C664" i="8" s="1"/>
  <c r="R457" i="7"/>
  <c r="C457" i="8" s="1"/>
  <c r="J905" i="8"/>
  <c r="R905" i="7"/>
  <c r="C905" i="8" s="1"/>
  <c r="R442" i="7"/>
  <c r="C442" i="8" s="1"/>
  <c r="C532" i="8"/>
  <c r="R530" i="7"/>
  <c r="C530" i="8" s="1"/>
  <c r="R307" i="7"/>
  <c r="C307" i="8" s="1"/>
  <c r="R691" i="7"/>
  <c r="C691" i="8" s="1"/>
  <c r="R883" i="7"/>
  <c r="C883" i="8" s="1"/>
  <c r="R668" i="7"/>
  <c r="C668" i="8" s="1"/>
  <c r="R292" i="7"/>
  <c r="C292" i="8" s="1"/>
  <c r="R277" i="7"/>
  <c r="C277" i="8" s="1"/>
  <c r="J341" i="8"/>
  <c r="R341" i="7"/>
  <c r="C341" i="8" s="1"/>
  <c r="R405" i="7"/>
  <c r="C405" i="8" s="1"/>
  <c r="R469" i="7"/>
  <c r="C469" i="8" s="1"/>
  <c r="R533" i="7"/>
  <c r="C533" i="8" s="1"/>
  <c r="J597" i="8"/>
  <c r="R597" i="7"/>
  <c r="C597" i="8" s="1"/>
  <c r="J661" i="8"/>
  <c r="R661" i="7"/>
  <c r="C661" i="8" s="1"/>
  <c r="R725" i="7"/>
  <c r="C725" i="8" s="1"/>
  <c r="R789" i="7"/>
  <c r="C789" i="8" s="1"/>
  <c r="R853" i="7"/>
  <c r="C853" i="8" s="1"/>
  <c r="R981" i="7"/>
  <c r="C981" i="8" s="1"/>
  <c r="J1045" i="8"/>
  <c r="R1045" i="7"/>
  <c r="C1045" i="8" s="1"/>
  <c r="J886" i="8"/>
  <c r="R886" i="7"/>
  <c r="C886" i="8" s="1"/>
  <c r="J1006" i="8"/>
  <c r="R1006" i="7"/>
  <c r="C1006" i="8" s="1"/>
  <c r="J1046" i="8"/>
  <c r="R1046" i="7"/>
  <c r="C1046" i="8" s="1"/>
  <c r="J287" i="8"/>
  <c r="R287" i="7"/>
  <c r="C287" i="8" s="1"/>
  <c r="R479" i="7"/>
  <c r="C479" i="8" s="1"/>
  <c r="R655" i="7"/>
  <c r="C655" i="8" s="1"/>
  <c r="R839" i="7"/>
  <c r="C839" i="8" s="1"/>
  <c r="R1023" i="7"/>
  <c r="C1023" i="8" s="1"/>
  <c r="J272" i="8"/>
  <c r="R272" i="7"/>
  <c r="C272" i="8" s="1"/>
  <c r="R536" i="7"/>
  <c r="C536" i="8" s="1"/>
  <c r="R776" i="7"/>
  <c r="C776" i="8" s="1"/>
  <c r="R1032" i="7"/>
  <c r="C1032" i="8" s="1"/>
  <c r="J262" i="8"/>
  <c r="R262" i="7"/>
  <c r="C262" i="8" s="1"/>
  <c r="R326" i="7"/>
  <c r="C326" i="8" s="1"/>
  <c r="R390" i="7"/>
  <c r="C390" i="8" s="1"/>
  <c r="R454" i="7"/>
  <c r="C454" i="8" s="1"/>
  <c r="R518" i="7"/>
  <c r="C518" i="8" s="1"/>
  <c r="J582" i="8"/>
  <c r="R582" i="7"/>
  <c r="C582" i="8" s="1"/>
  <c r="R710" i="7"/>
  <c r="C710" i="8" s="1"/>
  <c r="J774" i="8"/>
  <c r="R774" i="7"/>
  <c r="C774" i="8" s="1"/>
  <c r="R846" i="7"/>
  <c r="C846" i="8" s="1"/>
  <c r="J966" i="8"/>
  <c r="R966" i="7"/>
  <c r="C966" i="8" s="1"/>
  <c r="R303" i="7"/>
  <c r="C303" i="8" s="1"/>
  <c r="R511" i="7"/>
  <c r="C511" i="8" s="1"/>
  <c r="R711" i="7"/>
  <c r="C711" i="8" s="1"/>
  <c r="R919" i="7"/>
  <c r="C919" i="8" s="1"/>
  <c r="R1063" i="7"/>
  <c r="C1063" i="8" s="1"/>
  <c r="R416" i="7"/>
  <c r="C416" i="8" s="1"/>
  <c r="R648" i="7"/>
  <c r="C648" i="8" s="1"/>
  <c r="J904" i="8"/>
  <c r="R904" i="7"/>
  <c r="C904" i="8" s="1"/>
  <c r="J375" i="8"/>
  <c r="R375" i="7"/>
  <c r="C375" i="8" s="1"/>
  <c r="R567" i="7"/>
  <c r="C567" i="8" s="1"/>
  <c r="J767" i="8"/>
  <c r="R767" i="7"/>
  <c r="C767" i="8" s="1"/>
  <c r="R959" i="7"/>
  <c r="C959" i="8" s="1"/>
  <c r="R280" i="7"/>
  <c r="C280" i="8" s="1"/>
  <c r="R528" i="7"/>
  <c r="C528" i="8" s="1"/>
  <c r="R784" i="7"/>
  <c r="C784" i="8" s="1"/>
  <c r="R1040" i="7"/>
  <c r="C1040" i="8" s="1"/>
  <c r="R424" i="7"/>
  <c r="C424" i="8" s="1"/>
  <c r="R704" i="7"/>
  <c r="C704" i="8" s="1"/>
  <c r="R960" i="7"/>
  <c r="C960" i="8" s="1"/>
  <c r="R297" i="7"/>
  <c r="C297" i="8" s="1"/>
  <c r="R361" i="7"/>
  <c r="C361" i="8" s="1"/>
  <c r="R425" i="7"/>
  <c r="C425" i="8" s="1"/>
  <c r="R489" i="7"/>
  <c r="C489" i="8" s="1"/>
  <c r="R553" i="7"/>
  <c r="C553" i="8" s="1"/>
  <c r="R617" i="7"/>
  <c r="C617" i="8" s="1"/>
  <c r="R681" i="7"/>
  <c r="C681" i="8" s="1"/>
  <c r="J745" i="8"/>
  <c r="R745" i="7"/>
  <c r="C745" i="8" s="1"/>
  <c r="J809" i="8"/>
  <c r="R809" i="7"/>
  <c r="C809" i="8" s="1"/>
  <c r="R873" i="7"/>
  <c r="C873" i="8" s="1"/>
  <c r="R937" i="7"/>
  <c r="C937" i="8" s="1"/>
  <c r="R1001" i="7"/>
  <c r="C1001" i="8" s="1"/>
  <c r="R1049" i="7"/>
  <c r="C1049" i="8" s="1"/>
  <c r="R378" i="7"/>
  <c r="C378" i="8" s="1"/>
  <c r="R506" i="7"/>
  <c r="C506" i="8" s="1"/>
  <c r="R634" i="7"/>
  <c r="C634" i="8" s="1"/>
  <c r="R762" i="7"/>
  <c r="C762" i="8" s="1"/>
  <c r="J882" i="8"/>
  <c r="R882" i="7"/>
  <c r="C882" i="8" s="1"/>
  <c r="R1002" i="7"/>
  <c r="C1002" i="8" s="1"/>
  <c r="R338" i="7"/>
  <c r="C338" i="8" s="1"/>
  <c r="C468" i="8"/>
  <c r="R466" i="7"/>
  <c r="C466" i="8" s="1"/>
  <c r="C596" i="8"/>
  <c r="R594" i="7"/>
  <c r="C594" i="8" s="1"/>
  <c r="J722" i="8"/>
  <c r="R722" i="7"/>
  <c r="C722" i="8" s="1"/>
  <c r="R858" i="7"/>
  <c r="C858" i="8" s="1"/>
  <c r="R994" i="7"/>
  <c r="C994" i="8" s="1"/>
  <c r="J275" i="8"/>
  <c r="R275" i="7"/>
  <c r="C275" i="8" s="1"/>
  <c r="J339" i="8"/>
  <c r="R339" i="7"/>
  <c r="C339" i="8" s="1"/>
  <c r="J403" i="8"/>
  <c r="R403" i="7"/>
  <c r="C403" i="8" s="1"/>
  <c r="J467" i="8"/>
  <c r="R467" i="7"/>
  <c r="C467" i="8" s="1"/>
  <c r="R531" i="7"/>
  <c r="C531" i="8" s="1"/>
  <c r="R595" i="7"/>
  <c r="C595" i="8" s="1"/>
  <c r="R659" i="7"/>
  <c r="C659" i="8" s="1"/>
  <c r="R723" i="7"/>
  <c r="C723" i="8" s="1"/>
  <c r="R787" i="7"/>
  <c r="C787" i="8" s="1"/>
  <c r="R851" i="7"/>
  <c r="C851" i="8" s="1"/>
  <c r="C917" i="8"/>
  <c r="R915" i="7"/>
  <c r="C915" i="8" s="1"/>
  <c r="R979" i="7"/>
  <c r="C979" i="8" s="1"/>
  <c r="R1043" i="7"/>
  <c r="C1043" i="8" s="1"/>
  <c r="R332" i="7"/>
  <c r="C332" i="8" s="1"/>
  <c r="R604" i="7"/>
  <c r="C604" i="8" s="1"/>
  <c r="R980" i="7"/>
  <c r="C980" i="8" s="1"/>
  <c r="R1076" i="7"/>
  <c r="C1076" i="8" s="1"/>
  <c r="R1090" i="7"/>
  <c r="C1090" i="8" s="1"/>
  <c r="J309" i="8"/>
  <c r="R309" i="7"/>
  <c r="C309" i="8" s="1"/>
  <c r="J757" i="8"/>
  <c r="R757" i="7"/>
  <c r="C757" i="8" s="1"/>
  <c r="R1102" i="7"/>
  <c r="C1102" i="8" s="1"/>
  <c r="R912" i="7"/>
  <c r="C912" i="8" s="1"/>
  <c r="R678" i="7"/>
  <c r="C678" i="8" s="1"/>
  <c r="R607" i="7"/>
  <c r="C607" i="8" s="1"/>
  <c r="R671" i="7"/>
  <c r="C671" i="8" s="1"/>
  <c r="R832" i="7"/>
  <c r="C832" i="8" s="1"/>
  <c r="R649" i="7"/>
  <c r="C649" i="8" s="1"/>
  <c r="R1081" i="7"/>
  <c r="C1081" i="8" s="1"/>
  <c r="J826" i="8"/>
  <c r="R826" i="7"/>
  <c r="C826" i="8" s="1"/>
  <c r="R922" i="7"/>
  <c r="C922" i="8" s="1"/>
  <c r="J563" i="8"/>
  <c r="R563" i="7"/>
  <c r="C563" i="8" s="1"/>
  <c r="R947" i="7"/>
  <c r="C947" i="8" s="1"/>
  <c r="J404" i="8"/>
  <c r="R404" i="7"/>
  <c r="C404" i="8" s="1"/>
  <c r="J412" i="8"/>
  <c r="R412" i="7"/>
  <c r="C412" i="8" s="1"/>
  <c r="J924" i="8"/>
  <c r="R924" i="7"/>
  <c r="C924" i="8" s="1"/>
  <c r="J340" i="8"/>
  <c r="R340" i="7"/>
  <c r="C340" i="8" s="1"/>
  <c r="J460" i="8"/>
  <c r="R460" i="7"/>
  <c r="C460" i="8" s="1"/>
  <c r="R580" i="7"/>
  <c r="C580" i="8" s="1"/>
  <c r="J716" i="8"/>
  <c r="R716" i="7"/>
  <c r="C716" i="8" s="1"/>
  <c r="J844" i="8"/>
  <c r="R844" i="7"/>
  <c r="C844" i="8" s="1"/>
  <c r="R972" i="7"/>
  <c r="C972" i="8" s="1"/>
  <c r="J301" i="8"/>
  <c r="R301" i="7"/>
  <c r="C301" i="8" s="1"/>
  <c r="R365" i="7"/>
  <c r="C365" i="8" s="1"/>
  <c r="R429" i="7"/>
  <c r="C429" i="8" s="1"/>
  <c r="R493" i="7"/>
  <c r="C493" i="8" s="1"/>
  <c r="J557" i="8"/>
  <c r="R557" i="7"/>
  <c r="C557" i="8" s="1"/>
  <c r="R621" i="7"/>
  <c r="C621" i="8" s="1"/>
  <c r="R685" i="7"/>
  <c r="C685" i="8" s="1"/>
  <c r="J749" i="8"/>
  <c r="R749" i="7"/>
  <c r="C749" i="8" s="1"/>
  <c r="J813" i="8"/>
  <c r="R813" i="7"/>
  <c r="C813" i="8" s="1"/>
  <c r="J877" i="8"/>
  <c r="R877" i="7"/>
  <c r="C877" i="8" s="1"/>
  <c r="R941" i="7"/>
  <c r="C941" i="8" s="1"/>
  <c r="J1005" i="8"/>
  <c r="R1005" i="7"/>
  <c r="C1005" i="8" s="1"/>
  <c r="R1053" i="7"/>
  <c r="C1053" i="8" s="1"/>
  <c r="J934" i="8"/>
  <c r="R934" i="7"/>
  <c r="C934" i="8" s="1"/>
  <c r="R1062" i="7"/>
  <c r="C1062" i="8" s="1"/>
  <c r="R367" i="7"/>
  <c r="C367" i="8" s="1"/>
  <c r="R551" i="7"/>
  <c r="C551" i="8" s="1"/>
  <c r="J727" i="8"/>
  <c r="R727" i="7"/>
  <c r="C727" i="8" s="1"/>
  <c r="R903" i="7"/>
  <c r="C903" i="8" s="1"/>
  <c r="R1047" i="7"/>
  <c r="C1047" i="8" s="1"/>
  <c r="R368" i="7"/>
  <c r="C368" i="8" s="1"/>
  <c r="R632" i="7"/>
  <c r="C632" i="8" s="1"/>
  <c r="R880" i="7"/>
  <c r="C880" i="8" s="1"/>
  <c r="C1106" i="8"/>
  <c r="R1104" i="7"/>
  <c r="C1104" i="8" s="1"/>
  <c r="R286" i="7"/>
  <c r="C286" i="8" s="1"/>
  <c r="R478" i="7"/>
  <c r="C478" i="8" s="1"/>
  <c r="J542" i="8"/>
  <c r="R542" i="7"/>
  <c r="C542" i="8" s="1"/>
  <c r="J606" i="8"/>
  <c r="R606" i="7"/>
  <c r="C606" i="8" s="1"/>
  <c r="R670" i="7"/>
  <c r="C670" i="8" s="1"/>
  <c r="R878" i="7"/>
  <c r="C878" i="8" s="1"/>
  <c r="R1014" i="7"/>
  <c r="C1014" i="8" s="1"/>
  <c r="J383" i="8"/>
  <c r="R383" i="7"/>
  <c r="C383" i="8" s="1"/>
  <c r="R583" i="7"/>
  <c r="C583" i="8" s="1"/>
  <c r="R791" i="7"/>
  <c r="C791" i="8" s="1"/>
  <c r="R991" i="7"/>
  <c r="C991" i="8" s="1"/>
  <c r="R1079" i="7"/>
  <c r="C1079" i="8" s="1"/>
  <c r="R488" i="7"/>
  <c r="C488" i="8" s="1"/>
  <c r="J768" i="8"/>
  <c r="R768" i="7"/>
  <c r="C768" i="8" s="1"/>
  <c r="J1024" i="8"/>
  <c r="R1024" i="7"/>
  <c r="C1024" i="8" s="1"/>
  <c r="R271" i="7"/>
  <c r="C271" i="8" s="1"/>
  <c r="J447" i="8"/>
  <c r="R447" i="7"/>
  <c r="C447" i="8" s="1"/>
  <c r="J647" i="8"/>
  <c r="R647" i="7"/>
  <c r="C647" i="8" s="1"/>
  <c r="R831" i="7"/>
  <c r="C831" i="8" s="1"/>
  <c r="R1031" i="7"/>
  <c r="C1031" i="8" s="1"/>
  <c r="J376" i="8"/>
  <c r="R376" i="7"/>
  <c r="C376" i="8" s="1"/>
  <c r="R624" i="7"/>
  <c r="C624" i="8" s="1"/>
  <c r="R888" i="7"/>
  <c r="C888" i="8" s="1"/>
  <c r="J1072" i="8"/>
  <c r="R1072" i="7"/>
  <c r="C1072" i="8" s="1"/>
  <c r="R264" i="7"/>
  <c r="C264" i="8" s="1"/>
  <c r="J544" i="8"/>
  <c r="R544" i="7"/>
  <c r="C544" i="8" s="1"/>
  <c r="R792" i="7"/>
  <c r="C792" i="8" s="1"/>
  <c r="R257" i="7"/>
  <c r="C257" i="8" s="1"/>
  <c r="R321" i="7"/>
  <c r="C321" i="8" s="1"/>
  <c r="R385" i="7"/>
  <c r="C385" i="8" s="1"/>
  <c r="R449" i="7"/>
  <c r="C449" i="8" s="1"/>
  <c r="R513" i="7"/>
  <c r="C513" i="8" s="1"/>
  <c r="R577" i="7"/>
  <c r="C577" i="8" s="1"/>
  <c r="J641" i="8"/>
  <c r="R641" i="7"/>
  <c r="C641" i="8" s="1"/>
  <c r="R705" i="7"/>
  <c r="C705" i="8" s="1"/>
  <c r="R769" i="7"/>
  <c r="C769" i="8" s="1"/>
  <c r="R833" i="7"/>
  <c r="C833" i="8" s="1"/>
  <c r="R897" i="7"/>
  <c r="C897" i="8" s="1"/>
  <c r="R961" i="7"/>
  <c r="C961" i="8" s="1"/>
  <c r="R1025" i="7"/>
  <c r="C1025" i="8" s="1"/>
  <c r="R1057" i="7"/>
  <c r="C1057" i="8" s="1"/>
  <c r="R298" i="7"/>
  <c r="C298" i="8" s="1"/>
  <c r="R426" i="7"/>
  <c r="C426" i="8" s="1"/>
  <c r="C556" i="8"/>
  <c r="R554" i="7"/>
  <c r="C554" i="8" s="1"/>
  <c r="J682" i="8"/>
  <c r="R682" i="7"/>
  <c r="C682" i="8" s="1"/>
  <c r="R810" i="7"/>
  <c r="C810" i="8" s="1"/>
  <c r="R930" i="7"/>
  <c r="C930" i="8" s="1"/>
  <c r="R258" i="7"/>
  <c r="C258" i="8" s="1"/>
  <c r="R386" i="7"/>
  <c r="C386" i="8" s="1"/>
  <c r="R514" i="7"/>
  <c r="C514" i="8" s="1"/>
  <c r="R642" i="7"/>
  <c r="C642" i="8" s="1"/>
  <c r="J770" i="8"/>
  <c r="R770" i="7"/>
  <c r="C770" i="8" s="1"/>
  <c r="C908" i="8"/>
  <c r="R906" i="7"/>
  <c r="C906" i="8" s="1"/>
  <c r="J1042" i="8"/>
  <c r="R1042" i="7"/>
  <c r="C1042" i="8" s="1"/>
  <c r="J299" i="8"/>
  <c r="R299" i="7"/>
  <c r="C299" i="8" s="1"/>
  <c r="R363" i="7"/>
  <c r="C363" i="8" s="1"/>
  <c r="R427" i="7"/>
  <c r="C427" i="8" s="1"/>
  <c r="R491" i="7"/>
  <c r="C491" i="8" s="1"/>
  <c r="R555" i="7"/>
  <c r="C555" i="8" s="1"/>
  <c r="R619" i="7"/>
  <c r="C619" i="8" s="1"/>
  <c r="R683" i="7"/>
  <c r="C683" i="8" s="1"/>
  <c r="R747" i="7"/>
  <c r="C747" i="8" s="1"/>
  <c r="R811" i="7"/>
  <c r="C811" i="8" s="1"/>
  <c r="R875" i="7"/>
  <c r="C875" i="8" s="1"/>
  <c r="R939" i="7"/>
  <c r="C939" i="8" s="1"/>
  <c r="R1003" i="7"/>
  <c r="C1003" i="8" s="1"/>
  <c r="R1051" i="7"/>
  <c r="C1051" i="8" s="1"/>
  <c r="R388" i="7"/>
  <c r="C388" i="8" s="1"/>
  <c r="J524" i="8"/>
  <c r="R524" i="7"/>
  <c r="C524" i="8" s="1"/>
  <c r="R652" i="7"/>
  <c r="C652" i="8" s="1"/>
  <c r="R772" i="7"/>
  <c r="C772" i="8" s="1"/>
  <c r="R900" i="7"/>
  <c r="C900" i="8" s="1"/>
  <c r="R1028" i="7"/>
  <c r="C1028" i="8" s="1"/>
  <c r="R1092" i="7"/>
  <c r="C1092" i="8" s="1"/>
  <c r="R1048" i="7"/>
  <c r="C1048" i="8" s="1"/>
  <c r="J1058" i="8"/>
  <c r="R1058" i="7"/>
  <c r="C1058" i="8" s="1"/>
  <c r="R988" i="7"/>
  <c r="C988" i="8" s="1"/>
  <c r="R629" i="7"/>
  <c r="C629" i="8" s="1"/>
  <c r="J1077" i="8"/>
  <c r="R1077" i="7"/>
  <c r="C1077" i="8" s="1"/>
  <c r="J927" i="8"/>
  <c r="R927" i="7"/>
  <c r="C927" i="8" s="1"/>
  <c r="J486" i="8"/>
  <c r="R486" i="7"/>
  <c r="C486" i="8" s="1"/>
  <c r="R1038" i="7"/>
  <c r="C1038" i="8" s="1"/>
  <c r="R520" i="7"/>
  <c r="C520" i="8" s="1"/>
  <c r="R296" i="7"/>
  <c r="C296" i="8" s="1"/>
  <c r="J329" i="8"/>
  <c r="R329" i="7"/>
  <c r="C329" i="8" s="1"/>
  <c r="R841" i="7"/>
  <c r="C841" i="8" s="1"/>
  <c r="J260" i="8"/>
  <c r="R260" i="7"/>
  <c r="C260" i="8" s="1"/>
  <c r="C382" i="8"/>
  <c r="R380" i="7"/>
  <c r="C380" i="8" s="1"/>
  <c r="R500" i="7"/>
  <c r="C500" i="8" s="1"/>
  <c r="R628" i="7"/>
  <c r="C628" i="8" s="1"/>
  <c r="C766" i="8"/>
  <c r="R764" i="7"/>
  <c r="C764" i="8" s="1"/>
  <c r="J892" i="8"/>
  <c r="R892" i="7"/>
  <c r="C892" i="8" s="1"/>
  <c r="R1020" i="7"/>
  <c r="C1020" i="8" s="1"/>
  <c r="R261" i="7"/>
  <c r="C261" i="8" s="1"/>
  <c r="J325" i="8"/>
  <c r="R325" i="7"/>
  <c r="C325" i="8" s="1"/>
  <c r="J389" i="8"/>
  <c r="R389" i="7"/>
  <c r="C389" i="8" s="1"/>
  <c r="R453" i="7"/>
  <c r="C453" i="8" s="1"/>
  <c r="R517" i="7"/>
  <c r="C517" i="8" s="1"/>
  <c r="J581" i="8"/>
  <c r="R581" i="7"/>
  <c r="C581" i="8" s="1"/>
  <c r="J645" i="8"/>
  <c r="R645" i="7"/>
  <c r="C645" i="8" s="1"/>
  <c r="R709" i="7"/>
  <c r="C709" i="8" s="1"/>
  <c r="R773" i="7"/>
  <c r="C773" i="8" s="1"/>
  <c r="J837" i="8"/>
  <c r="R837" i="7"/>
  <c r="C837" i="8" s="1"/>
  <c r="R901" i="7"/>
  <c r="C901" i="8" s="1"/>
  <c r="R965" i="7"/>
  <c r="C965" i="8" s="1"/>
  <c r="J1029" i="8"/>
  <c r="R1029" i="7"/>
  <c r="C1029" i="8" s="1"/>
  <c r="R1061" i="7"/>
  <c r="C1061" i="8" s="1"/>
  <c r="J822" i="8"/>
  <c r="R822" i="7"/>
  <c r="C822" i="8" s="1"/>
  <c r="R974" i="7"/>
  <c r="C974" i="8" s="1"/>
  <c r="J1070" i="8"/>
  <c r="R1070" i="7"/>
  <c r="C1070" i="8" s="1"/>
  <c r="R439" i="7"/>
  <c r="C439" i="8" s="1"/>
  <c r="J623" i="8"/>
  <c r="R623" i="7"/>
  <c r="C623" i="8" s="1"/>
  <c r="J799" i="8"/>
  <c r="R799" i="7"/>
  <c r="C799" i="8" s="1"/>
  <c r="R975" i="7"/>
  <c r="C975" i="8" s="1"/>
  <c r="J1071" i="8"/>
  <c r="R1071" i="7"/>
  <c r="C1071" i="8" s="1"/>
  <c r="R464" i="7"/>
  <c r="C464" i="8" s="1"/>
  <c r="J712" i="8"/>
  <c r="R712" i="7"/>
  <c r="C712" i="8" s="1"/>
  <c r="J968" i="8"/>
  <c r="R968" i="7"/>
  <c r="C968" i="8" s="1"/>
  <c r="J310" i="8"/>
  <c r="R310" i="7"/>
  <c r="C310" i="8" s="1"/>
  <c r="R374" i="7"/>
  <c r="C374" i="8" s="1"/>
  <c r="R438" i="7"/>
  <c r="C438" i="8" s="1"/>
  <c r="R502" i="7"/>
  <c r="C502" i="8" s="1"/>
  <c r="J566" i="8"/>
  <c r="R566" i="7"/>
  <c r="C566" i="8" s="1"/>
  <c r="R630" i="7"/>
  <c r="C630" i="8" s="1"/>
  <c r="J694" i="8"/>
  <c r="R694" i="7"/>
  <c r="C694" i="8" s="1"/>
  <c r="J758" i="8"/>
  <c r="R758" i="7"/>
  <c r="C758" i="8" s="1"/>
  <c r="J455" i="8"/>
  <c r="R455" i="7"/>
  <c r="C455" i="8" s="1"/>
  <c r="R663" i="7"/>
  <c r="C663" i="8" s="1"/>
  <c r="R871" i="7"/>
  <c r="C871" i="8" s="1"/>
  <c r="R1095" i="7"/>
  <c r="C1095" i="8" s="1"/>
  <c r="R352" i="7"/>
  <c r="C352" i="8" s="1"/>
  <c r="R584" i="7"/>
  <c r="C584" i="8" s="1"/>
  <c r="J848" i="8"/>
  <c r="R848" i="7"/>
  <c r="C848" i="8" s="1"/>
  <c r="J1088" i="8"/>
  <c r="R1088" i="7"/>
  <c r="C1088" i="8" s="1"/>
  <c r="J343" i="8"/>
  <c r="R343" i="7"/>
  <c r="C343" i="8" s="1"/>
  <c r="R519" i="7"/>
  <c r="C519" i="8" s="1"/>
  <c r="R719" i="7"/>
  <c r="C719" i="8" s="1"/>
  <c r="J911" i="8"/>
  <c r="R911" i="7"/>
  <c r="C911" i="8" s="1"/>
  <c r="J1055" i="8"/>
  <c r="R1055" i="7"/>
  <c r="C1055" i="8" s="1"/>
  <c r="J480" i="8"/>
  <c r="R480" i="7"/>
  <c r="C480" i="8" s="1"/>
  <c r="R728" i="7"/>
  <c r="C728" i="8" s="1"/>
  <c r="R976" i="7"/>
  <c r="C976" i="8" s="1"/>
  <c r="R1096" i="7"/>
  <c r="C1096" i="8" s="1"/>
  <c r="R360" i="7"/>
  <c r="C360" i="8" s="1"/>
  <c r="J640" i="8"/>
  <c r="R640" i="7"/>
  <c r="C640" i="8" s="1"/>
  <c r="J896" i="8"/>
  <c r="R896" i="7"/>
  <c r="C896" i="8" s="1"/>
  <c r="R281" i="7"/>
  <c r="C281" i="8" s="1"/>
  <c r="R345" i="7"/>
  <c r="C345" i="8" s="1"/>
  <c r="R409" i="7"/>
  <c r="C409" i="8" s="1"/>
  <c r="R473" i="7"/>
  <c r="C473" i="8" s="1"/>
  <c r="J537" i="8"/>
  <c r="R537" i="7"/>
  <c r="C537" i="8" s="1"/>
  <c r="J601" i="8"/>
  <c r="R601" i="7"/>
  <c r="C601" i="8" s="1"/>
  <c r="R665" i="7"/>
  <c r="C665" i="8" s="1"/>
  <c r="R729" i="7"/>
  <c r="C729" i="8" s="1"/>
  <c r="R793" i="7"/>
  <c r="C793" i="8" s="1"/>
  <c r="R857" i="7"/>
  <c r="C857" i="8" s="1"/>
  <c r="R921" i="7"/>
  <c r="C921" i="8" s="1"/>
  <c r="R985" i="7"/>
  <c r="C985" i="8" s="1"/>
  <c r="J1065" i="8"/>
  <c r="R1065" i="7"/>
  <c r="C1065" i="8" s="1"/>
  <c r="R346" i="7"/>
  <c r="C346" i="8" s="1"/>
  <c r="R474" i="7"/>
  <c r="C474" i="8" s="1"/>
  <c r="R602" i="7"/>
  <c r="C602" i="8" s="1"/>
  <c r="R730" i="7"/>
  <c r="C730" i="8" s="1"/>
  <c r="J850" i="8"/>
  <c r="R850" i="7"/>
  <c r="C850" i="8" s="1"/>
  <c r="R978" i="7"/>
  <c r="C978" i="8" s="1"/>
  <c r="R306" i="7"/>
  <c r="C306" i="8" s="1"/>
  <c r="R434" i="7"/>
  <c r="C434" i="8" s="1"/>
  <c r="J562" i="8"/>
  <c r="R562" i="7"/>
  <c r="C562" i="8" s="1"/>
  <c r="J690" i="8"/>
  <c r="R690" i="7"/>
  <c r="C690" i="8" s="1"/>
  <c r="C820" i="8"/>
  <c r="R818" i="7"/>
  <c r="C818" i="8" s="1"/>
  <c r="R954" i="7"/>
  <c r="C954" i="8" s="1"/>
  <c r="R259" i="7"/>
  <c r="C259" i="8" s="1"/>
  <c r="J323" i="8"/>
  <c r="R323" i="7"/>
  <c r="C323" i="8" s="1"/>
  <c r="R387" i="7"/>
  <c r="C387" i="8" s="1"/>
  <c r="J451" i="8"/>
  <c r="R451" i="7"/>
  <c r="C451" i="8" s="1"/>
  <c r="J515" i="8"/>
  <c r="R515" i="7"/>
  <c r="C515" i="8" s="1"/>
  <c r="R579" i="7"/>
  <c r="C579" i="8" s="1"/>
  <c r="R643" i="7"/>
  <c r="C643" i="8" s="1"/>
  <c r="R707" i="7"/>
  <c r="C707" i="8" s="1"/>
  <c r="R771" i="7"/>
  <c r="C771" i="8" s="1"/>
  <c r="R835" i="7"/>
  <c r="C835" i="8" s="1"/>
  <c r="R899" i="7"/>
  <c r="C899" i="8" s="1"/>
  <c r="R963" i="7"/>
  <c r="C963" i="8" s="1"/>
  <c r="R1027" i="7"/>
  <c r="C1027" i="8" s="1"/>
  <c r="R1059" i="7"/>
  <c r="C1059" i="8" s="1"/>
  <c r="R300" i="7"/>
  <c r="C300" i="8" s="1"/>
  <c r="R436" i="7"/>
  <c r="C436" i="8" s="1"/>
  <c r="C574" i="8"/>
  <c r="R572" i="7"/>
  <c r="C572" i="8" s="1"/>
  <c r="C702" i="8"/>
  <c r="R700" i="7"/>
  <c r="C700" i="8" s="1"/>
  <c r="R948" i="7"/>
  <c r="C948" i="8" s="1"/>
  <c r="J501" i="8"/>
  <c r="R501" i="7"/>
  <c r="C501" i="8" s="1"/>
  <c r="R885" i="7"/>
  <c r="C885" i="8" s="1"/>
  <c r="R575" i="7"/>
  <c r="C575" i="8" s="1"/>
  <c r="R294" i="7"/>
  <c r="C294" i="8" s="1"/>
  <c r="J806" i="8"/>
  <c r="R806" i="7"/>
  <c r="C806" i="8" s="1"/>
  <c r="R288" i="7"/>
  <c r="C288" i="8" s="1"/>
  <c r="R855" i="7"/>
  <c r="C855" i="8" s="1"/>
  <c r="J393" i="8"/>
  <c r="R393" i="7"/>
  <c r="C393" i="8" s="1"/>
  <c r="R777" i="7"/>
  <c r="C777" i="8" s="1"/>
  <c r="R698" i="7"/>
  <c r="C698" i="8" s="1"/>
  <c r="R308" i="7"/>
  <c r="C308" i="8" s="1"/>
  <c r="C430" i="8"/>
  <c r="R428" i="7"/>
  <c r="C428" i="8" s="1"/>
  <c r="R548" i="7"/>
  <c r="C548" i="8" s="1"/>
  <c r="J676" i="8"/>
  <c r="R676" i="7"/>
  <c r="C676" i="8" s="1"/>
  <c r="R812" i="7"/>
  <c r="C812" i="8" s="1"/>
  <c r="R940" i="7"/>
  <c r="C940" i="8" s="1"/>
  <c r="R285" i="7"/>
  <c r="C285" i="8" s="1"/>
  <c r="R349" i="7"/>
  <c r="C349" i="8" s="1"/>
  <c r="R413" i="7"/>
  <c r="C413" i="8" s="1"/>
  <c r="J477" i="8"/>
  <c r="R477" i="7"/>
  <c r="C477" i="8" s="1"/>
  <c r="R541" i="7"/>
  <c r="C541" i="8" s="1"/>
  <c r="R605" i="7"/>
  <c r="C605" i="8" s="1"/>
  <c r="J669" i="8"/>
  <c r="R669" i="7"/>
  <c r="C669" i="8" s="1"/>
  <c r="R733" i="7"/>
  <c r="C733" i="8" s="1"/>
  <c r="R797" i="7"/>
  <c r="C797" i="8" s="1"/>
  <c r="R861" i="7"/>
  <c r="C861" i="8" s="1"/>
  <c r="R925" i="7"/>
  <c r="C925" i="8" s="1"/>
  <c r="R989" i="7"/>
  <c r="C989" i="8" s="1"/>
  <c r="R1069" i="7"/>
  <c r="C1069" i="8" s="1"/>
  <c r="R902" i="7"/>
  <c r="C902" i="8" s="1"/>
  <c r="R1022" i="7"/>
  <c r="C1022" i="8" s="1"/>
  <c r="J1086" i="8"/>
  <c r="R1086" i="7"/>
  <c r="C1086" i="8" s="1"/>
  <c r="R311" i="7"/>
  <c r="C311" i="8" s="1"/>
  <c r="R503" i="7"/>
  <c r="C503" i="8" s="1"/>
  <c r="R679" i="7"/>
  <c r="C679" i="8" s="1"/>
  <c r="R863" i="7"/>
  <c r="C863" i="8" s="1"/>
  <c r="J1103" i="8"/>
  <c r="R1103" i="7"/>
  <c r="C1103" i="8" s="1"/>
  <c r="R304" i="7"/>
  <c r="C304" i="8" s="1"/>
  <c r="R568" i="7"/>
  <c r="C568" i="8" s="1"/>
  <c r="R808" i="7"/>
  <c r="C808" i="8" s="1"/>
  <c r="R270" i="7"/>
  <c r="C270" i="8" s="1"/>
  <c r="R334" i="7"/>
  <c r="C334" i="8" s="1"/>
  <c r="R398" i="7"/>
  <c r="C398" i="8" s="1"/>
  <c r="R462" i="7"/>
  <c r="C462" i="8" s="1"/>
  <c r="R526" i="7"/>
  <c r="C526" i="8" s="1"/>
  <c r="R590" i="7"/>
  <c r="C590" i="8" s="1"/>
  <c r="R654" i="7"/>
  <c r="C654" i="8" s="1"/>
  <c r="R718" i="7"/>
  <c r="C718" i="8" s="1"/>
  <c r="J782" i="8"/>
  <c r="R782" i="7"/>
  <c r="C782" i="8" s="1"/>
  <c r="R854" i="7"/>
  <c r="C854" i="8" s="1"/>
  <c r="R982" i="7"/>
  <c r="C982" i="8" s="1"/>
  <c r="R327" i="7"/>
  <c r="C327" i="8" s="1"/>
  <c r="R535" i="7"/>
  <c r="C535" i="8" s="1"/>
  <c r="R735" i="7"/>
  <c r="C735" i="8" s="1"/>
  <c r="R943" i="7"/>
  <c r="C943" i="8" s="1"/>
  <c r="R440" i="7"/>
  <c r="C440" i="8" s="1"/>
  <c r="J680" i="8"/>
  <c r="R680" i="7"/>
  <c r="C680" i="8" s="1"/>
  <c r="R936" i="7"/>
  <c r="C936" i="8" s="1"/>
  <c r="R399" i="7"/>
  <c r="C399" i="8" s="1"/>
  <c r="R591" i="7"/>
  <c r="C591" i="8" s="1"/>
  <c r="R783" i="7"/>
  <c r="C783" i="8" s="1"/>
  <c r="R983" i="7"/>
  <c r="C983" i="8" s="1"/>
  <c r="R1087" i="7"/>
  <c r="C1087" i="8" s="1"/>
  <c r="R312" i="7"/>
  <c r="C312" i="8" s="1"/>
  <c r="R560" i="7"/>
  <c r="C560" i="8" s="1"/>
  <c r="R816" i="7"/>
  <c r="C816" i="8" s="1"/>
  <c r="R472" i="7"/>
  <c r="C472" i="8" s="1"/>
  <c r="R736" i="7"/>
  <c r="C736" i="8" s="1"/>
  <c r="R992" i="7"/>
  <c r="C992" i="8" s="1"/>
  <c r="R305" i="7"/>
  <c r="C305" i="8" s="1"/>
  <c r="J369" i="8"/>
  <c r="R369" i="7"/>
  <c r="C369" i="8" s="1"/>
  <c r="R433" i="7"/>
  <c r="C433" i="8" s="1"/>
  <c r="R497" i="7"/>
  <c r="C497" i="8" s="1"/>
  <c r="R561" i="7"/>
  <c r="C561" i="8" s="1"/>
  <c r="R625" i="7"/>
  <c r="C625" i="8" s="1"/>
  <c r="R689" i="7"/>
  <c r="C689" i="8" s="1"/>
  <c r="R753" i="7"/>
  <c r="C753" i="8" s="1"/>
  <c r="J817" i="8"/>
  <c r="R817" i="7"/>
  <c r="C817" i="8" s="1"/>
  <c r="R881" i="7"/>
  <c r="C881" i="8" s="1"/>
  <c r="R945" i="7"/>
  <c r="C945" i="8" s="1"/>
  <c r="R1009" i="7"/>
  <c r="C1009" i="8" s="1"/>
  <c r="R1073" i="7"/>
  <c r="C1073" i="8" s="1"/>
  <c r="R266" i="7"/>
  <c r="C266" i="8" s="1"/>
  <c r="J394" i="8"/>
  <c r="R394" i="7"/>
  <c r="C394" i="8" s="1"/>
  <c r="R522" i="7"/>
  <c r="C522" i="8" s="1"/>
  <c r="R650" i="7"/>
  <c r="C650" i="8" s="1"/>
  <c r="R778" i="7"/>
  <c r="C778" i="8" s="1"/>
  <c r="R898" i="7"/>
  <c r="C898" i="8" s="1"/>
  <c r="R1018" i="7"/>
  <c r="C1018" i="8" s="1"/>
  <c r="R354" i="7"/>
  <c r="C354" i="8" s="1"/>
  <c r="R482" i="7"/>
  <c r="C482" i="8" s="1"/>
  <c r="R610" i="7"/>
  <c r="C610" i="8" s="1"/>
  <c r="J738" i="8"/>
  <c r="R738" i="7"/>
  <c r="C738" i="8" s="1"/>
  <c r="R874" i="7"/>
  <c r="C874" i="8" s="1"/>
  <c r="R1010" i="7"/>
  <c r="C1010" i="8" s="1"/>
  <c r="R283" i="7"/>
  <c r="C283" i="8" s="1"/>
  <c r="R347" i="7"/>
  <c r="C347" i="8" s="1"/>
  <c r="R411" i="7"/>
  <c r="C411" i="8" s="1"/>
  <c r="J475" i="8"/>
  <c r="R475" i="7"/>
  <c r="C475" i="8" s="1"/>
  <c r="J539" i="8"/>
  <c r="R539" i="7"/>
  <c r="C539" i="8" s="1"/>
  <c r="J603" i="8"/>
  <c r="R603" i="7"/>
  <c r="C603" i="8" s="1"/>
  <c r="R667" i="7"/>
  <c r="C667" i="8" s="1"/>
  <c r="R731" i="7"/>
  <c r="C731" i="8" s="1"/>
  <c r="J795" i="8"/>
  <c r="R795" i="7"/>
  <c r="C795" i="8" s="1"/>
  <c r="J859" i="8"/>
  <c r="R859" i="7"/>
  <c r="C859" i="8" s="1"/>
  <c r="R923" i="7"/>
  <c r="C923" i="8" s="1"/>
  <c r="R987" i="7"/>
  <c r="C987" i="8" s="1"/>
  <c r="R1067" i="7"/>
  <c r="C1067" i="8" s="1"/>
  <c r="J356" i="8"/>
  <c r="R356" i="7"/>
  <c r="C356" i="8" s="1"/>
  <c r="R484" i="7"/>
  <c r="C484" i="8" s="1"/>
  <c r="C622" i="8"/>
  <c r="R620" i="7"/>
  <c r="C620" i="8" s="1"/>
  <c r="R740" i="7"/>
  <c r="C740" i="8" s="1"/>
  <c r="R868" i="7"/>
  <c r="C868" i="8" s="1"/>
  <c r="R996" i="7"/>
  <c r="C996" i="8" s="1"/>
  <c r="J1052" i="8"/>
  <c r="R1052" i="7"/>
  <c r="C1052" i="8" s="1"/>
  <c r="R1056" i="7"/>
  <c r="C1056" i="8" s="1"/>
  <c r="R1082" i="7"/>
  <c r="C1082" i="8" s="1"/>
  <c r="R916" i="7"/>
  <c r="C916" i="8" s="1"/>
  <c r="R1044" i="7"/>
  <c r="C1044" i="8" s="1"/>
  <c r="R1068" i="7"/>
  <c r="C1068" i="8" s="1"/>
  <c r="R1080" i="7"/>
  <c r="C1080" i="8" s="1"/>
  <c r="R1098" i="7"/>
  <c r="C1098" i="8" s="1"/>
  <c r="L1153" i="7"/>
  <c r="Q1151" i="7"/>
  <c r="K1153" i="7"/>
  <c r="L1152" i="7"/>
  <c r="F1153" i="7"/>
  <c r="G1153" i="7" s="1"/>
  <c r="C1152" i="6"/>
  <c r="D1152" i="6" s="1"/>
  <c r="G1165" i="6" s="1"/>
  <c r="Q1152" i="7"/>
  <c r="K1152" i="7"/>
  <c r="E1152" i="7"/>
  <c r="F1152" i="7"/>
  <c r="C1151" i="6"/>
  <c r="D1151" i="6" s="1"/>
  <c r="K1152" i="8" s="1"/>
  <c r="K1151" i="7"/>
  <c r="L1151" i="7"/>
  <c r="C1150" i="6"/>
  <c r="D1150" i="6" s="1"/>
  <c r="K1151" i="8" s="1"/>
  <c r="F1151" i="7"/>
  <c r="E1151" i="7"/>
  <c r="Q1150" i="7"/>
  <c r="R1150" i="7" s="1"/>
  <c r="C1149" i="6"/>
  <c r="D1149" i="6" s="1"/>
  <c r="K1150" i="8" s="1"/>
  <c r="K1150" i="7"/>
  <c r="E1150" i="7"/>
  <c r="F1150" i="7"/>
  <c r="L1150" i="7"/>
  <c r="Q1149" i="7"/>
  <c r="R1149" i="7" s="1"/>
  <c r="K1149" i="7"/>
  <c r="E1149" i="7"/>
  <c r="F1149" i="7"/>
  <c r="L1149" i="7"/>
  <c r="C1148" i="6"/>
  <c r="D1148" i="6" s="1"/>
  <c r="K1149" i="8" s="1"/>
  <c r="Q1147" i="7"/>
  <c r="R1147" i="7" s="1"/>
  <c r="Q1148" i="7"/>
  <c r="R1148" i="7" s="1"/>
  <c r="K1148" i="7"/>
  <c r="Q1144" i="7"/>
  <c r="L1148" i="7"/>
  <c r="E1148" i="7"/>
  <c r="F1148" i="7"/>
  <c r="K1147" i="7"/>
  <c r="C1147" i="6"/>
  <c r="D1147" i="6" s="1"/>
  <c r="K1148" i="8" s="1"/>
  <c r="Q1145" i="7"/>
  <c r="E1147" i="7"/>
  <c r="F1147" i="7"/>
  <c r="L1147" i="7"/>
  <c r="K1146" i="7"/>
  <c r="Q1146" i="7"/>
  <c r="R1146" i="7" s="1"/>
  <c r="L1145" i="7"/>
  <c r="L1146" i="7"/>
  <c r="E1146" i="7"/>
  <c r="F1146" i="7"/>
  <c r="K1145" i="7"/>
  <c r="F1145" i="7"/>
  <c r="E1145" i="7"/>
  <c r="K1144" i="7"/>
  <c r="K1143" i="7"/>
  <c r="L1144" i="7"/>
  <c r="E1144" i="7"/>
  <c r="F1144" i="7"/>
  <c r="K1142" i="7"/>
  <c r="Q1143" i="7"/>
  <c r="R1143" i="7" s="1"/>
  <c r="L1143" i="7"/>
  <c r="E1143" i="7"/>
  <c r="F1143" i="7"/>
  <c r="L1142" i="7"/>
  <c r="E1142" i="7"/>
  <c r="F1142" i="7"/>
  <c r="Q1141" i="7"/>
  <c r="R1141" i="7" s="1"/>
  <c r="Q1140" i="7"/>
  <c r="R1140" i="7" s="1"/>
  <c r="G897" i="7"/>
  <c r="K1141" i="7"/>
  <c r="K1140" i="7"/>
  <c r="G641" i="7"/>
  <c r="L1141" i="7"/>
  <c r="G545" i="7"/>
  <c r="E1141" i="7"/>
  <c r="F1141" i="7"/>
  <c r="Q1137" i="7"/>
  <c r="G721" i="7"/>
  <c r="G690" i="7"/>
  <c r="G485" i="7"/>
  <c r="G905" i="7"/>
  <c r="G889" i="7"/>
  <c r="G1041" i="7"/>
  <c r="E1140" i="7"/>
  <c r="F1140" i="7"/>
  <c r="L1140" i="7"/>
  <c r="K1139" i="7"/>
  <c r="Q1138" i="7"/>
  <c r="R1138" i="7" s="1"/>
  <c r="L1139" i="7"/>
  <c r="Q1139" i="7"/>
  <c r="R1139" i="7" s="1"/>
  <c r="K1138" i="7"/>
  <c r="G577" i="7"/>
  <c r="E1139" i="7"/>
  <c r="F1139" i="7"/>
  <c r="L1138" i="7"/>
  <c r="G513" i="7"/>
  <c r="E1138" i="7"/>
  <c r="F1138" i="7"/>
  <c r="G705" i="7"/>
  <c r="F1137" i="7"/>
  <c r="E1137" i="7"/>
  <c r="K1136" i="7"/>
  <c r="K1137" i="7"/>
  <c r="L1137" i="7"/>
  <c r="Q1133" i="7"/>
  <c r="Q1136" i="7"/>
  <c r="R1136" i="7" s="1"/>
  <c r="K1135" i="7"/>
  <c r="L1136" i="7"/>
  <c r="E1136" i="7"/>
  <c r="F1136" i="7"/>
  <c r="Q1121" i="7"/>
  <c r="Q1135" i="7"/>
  <c r="R1135" i="7" s="1"/>
  <c r="E1135" i="7"/>
  <c r="G498" i="7"/>
  <c r="L1135" i="7"/>
  <c r="F1135" i="7"/>
  <c r="K1134" i="7"/>
  <c r="Q1134" i="7"/>
  <c r="R1134" i="7" s="1"/>
  <c r="L1134" i="7"/>
  <c r="E1134" i="7"/>
  <c r="F1134" i="7"/>
  <c r="G961" i="7"/>
  <c r="G529" i="7"/>
  <c r="F1133" i="7"/>
  <c r="K1133" i="7"/>
  <c r="L1133" i="7"/>
  <c r="G769" i="7"/>
  <c r="E1133" i="7"/>
  <c r="Q1131" i="7"/>
  <c r="R1131" i="7" s="1"/>
  <c r="Q1132" i="7"/>
  <c r="R1132" i="7" s="1"/>
  <c r="G833" i="7"/>
  <c r="K1132" i="7"/>
  <c r="K1131" i="7"/>
  <c r="G626" i="7"/>
  <c r="G737" i="7"/>
  <c r="G754" i="7"/>
  <c r="G865" i="7"/>
  <c r="G451" i="7"/>
  <c r="G785" i="7"/>
  <c r="G411" i="7"/>
  <c r="E1132" i="7"/>
  <c r="F1132" i="7"/>
  <c r="L1132" i="7"/>
  <c r="G929" i="7"/>
  <c r="L1131" i="7"/>
  <c r="E1131" i="7"/>
  <c r="F1131" i="7"/>
  <c r="Q1128" i="7"/>
  <c r="Q1130" i="7"/>
  <c r="R1130" i="7" s="1"/>
  <c r="K1130" i="7"/>
  <c r="G801" i="7"/>
  <c r="E1130" i="7"/>
  <c r="F1130" i="7"/>
  <c r="G449" i="7"/>
  <c r="L1130" i="7"/>
  <c r="K1128" i="7"/>
  <c r="K1129" i="7"/>
  <c r="Q1129" i="7"/>
  <c r="R1129" i="7" s="1"/>
  <c r="E1129" i="7"/>
  <c r="F1129" i="7"/>
  <c r="G1034" i="7"/>
  <c r="G609" i="7"/>
  <c r="L1129" i="7"/>
  <c r="L1128" i="7"/>
  <c r="G673" i="7"/>
  <c r="E1128" i="7"/>
  <c r="F1128" i="7"/>
  <c r="Q1125" i="7"/>
  <c r="Q1126" i="7"/>
  <c r="R1126" i="7" s="1"/>
  <c r="K1127" i="7"/>
  <c r="L1127" i="7"/>
  <c r="F1127" i="7"/>
  <c r="Q1127" i="7"/>
  <c r="R1127" i="7" s="1"/>
  <c r="G818" i="7"/>
  <c r="G985" i="7"/>
  <c r="E1127" i="7"/>
  <c r="G849" i="7"/>
  <c r="L1125" i="7"/>
  <c r="F1120" i="7"/>
  <c r="G1074" i="7"/>
  <c r="G1049" i="7"/>
  <c r="G1090" i="7"/>
  <c r="G585" i="7"/>
  <c r="G913" i="7"/>
  <c r="K1126" i="7"/>
  <c r="L1126" i="7"/>
  <c r="F1126" i="7"/>
  <c r="G1126" i="7" s="1"/>
  <c r="K1124" i="7"/>
  <c r="E1125" i="7"/>
  <c r="F1125" i="7"/>
  <c r="K1125" i="7"/>
  <c r="Q1124" i="7"/>
  <c r="R1124" i="7" s="1"/>
  <c r="L1124" i="7"/>
  <c r="E1124" i="7"/>
  <c r="F1124" i="7"/>
  <c r="Q1122" i="7"/>
  <c r="G1098" i="7"/>
  <c r="K1123" i="7"/>
  <c r="Q1123" i="7"/>
  <c r="R1123" i="7" s="1"/>
  <c r="G562" i="7"/>
  <c r="G593" i="7"/>
  <c r="K1122" i="7"/>
  <c r="G946" i="7"/>
  <c r="G977" i="7"/>
  <c r="G483" i="7"/>
  <c r="E1123" i="7"/>
  <c r="F1123" i="7"/>
  <c r="L1123" i="7"/>
  <c r="G420" i="7"/>
  <c r="G657" i="7"/>
  <c r="E1116" i="7"/>
  <c r="E1122" i="7"/>
  <c r="F1122" i="7"/>
  <c r="L1122" i="7"/>
  <c r="F1117" i="7"/>
  <c r="F1121" i="7"/>
  <c r="L1120" i="7"/>
  <c r="Q1120" i="7"/>
  <c r="R1120" i="7" s="1"/>
  <c r="E1121" i="7"/>
  <c r="K1121" i="7"/>
  <c r="L1121" i="7"/>
  <c r="E1120" i="7"/>
  <c r="K1120" i="7"/>
  <c r="F1119" i="7"/>
  <c r="Q1119" i="7"/>
  <c r="R1119" i="7" s="1"/>
  <c r="E1117" i="7"/>
  <c r="K1119" i="7"/>
  <c r="E1119" i="7"/>
  <c r="L1119" i="7"/>
  <c r="Q1117" i="7"/>
  <c r="R1117" i="7" s="1"/>
  <c r="K1117" i="7"/>
  <c r="Q1118" i="7"/>
  <c r="R1118" i="7" s="1"/>
  <c r="G522" i="7"/>
  <c r="G481" i="7"/>
  <c r="G921" i="7"/>
  <c r="G443" i="7"/>
  <c r="G465" i="7"/>
  <c r="G834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R1116" i="7" s="1"/>
  <c r="Q1113" i="7"/>
  <c r="L1116" i="7"/>
  <c r="F1116" i="7"/>
  <c r="K1115" i="7"/>
  <c r="G665" i="7"/>
  <c r="G922" i="7"/>
  <c r="G874" i="7"/>
  <c r="G778" i="7"/>
  <c r="G681" i="7"/>
  <c r="G1089" i="7"/>
  <c r="G937" i="7"/>
  <c r="Q1114" i="7"/>
  <c r="R1114" i="7" s="1"/>
  <c r="G938" i="7"/>
  <c r="G1105" i="7"/>
  <c r="K1114" i="7"/>
  <c r="Q1115" i="7"/>
  <c r="R1115" i="7" s="1"/>
  <c r="L1115" i="7"/>
  <c r="E1115" i="7"/>
  <c r="F1115" i="7"/>
  <c r="G553" i="7"/>
  <c r="G810" i="7"/>
  <c r="G1025" i="7"/>
  <c r="G858" i="7"/>
  <c r="G873" i="7"/>
  <c r="G825" i="7"/>
  <c r="G714" i="7"/>
  <c r="G403" i="7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R1112" i="7" s="1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R1111" i="7" s="1"/>
  <c r="J1081" i="8"/>
  <c r="Q1110" i="7"/>
  <c r="R1110" i="7" s="1"/>
  <c r="C1110" i="8" s="1"/>
  <c r="L1111" i="7"/>
  <c r="J454" i="8"/>
  <c r="J711" i="8"/>
  <c r="J648" i="8"/>
  <c r="E1111" i="7"/>
  <c r="F1111" i="7"/>
  <c r="G994" i="7"/>
  <c r="F1109" i="7"/>
  <c r="G505" i="7"/>
  <c r="G538" i="7"/>
  <c r="K1111" i="7"/>
  <c r="J750" i="8"/>
  <c r="J931" i="8"/>
  <c r="J1034" i="8"/>
  <c r="J889" i="8"/>
  <c r="J1091" i="8"/>
  <c r="J636" i="8"/>
  <c r="J1023" i="8"/>
  <c r="J1040" i="8"/>
  <c r="J710" i="8"/>
  <c r="J303" i="8"/>
  <c r="J390" i="8"/>
  <c r="J804" i="8"/>
  <c r="J536" i="8"/>
  <c r="J280" i="8"/>
  <c r="J891" i="8"/>
  <c r="J959" i="8"/>
  <c r="J784" i="8"/>
  <c r="J326" i="8"/>
  <c r="J1063" i="8"/>
  <c r="J416" i="8"/>
  <c r="J1064" i="8"/>
  <c r="J635" i="8"/>
  <c r="J919" i="8"/>
  <c r="J655" i="8"/>
  <c r="J802" i="8"/>
  <c r="J479" i="8"/>
  <c r="J518" i="8"/>
  <c r="J846" i="8"/>
  <c r="J511" i="8"/>
  <c r="J528" i="8"/>
  <c r="J567" i="8"/>
  <c r="J776" i="8"/>
  <c r="L1106" i="7"/>
  <c r="G1108" i="7"/>
  <c r="J610" i="8"/>
  <c r="J996" i="8"/>
  <c r="J522" i="8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J1010" i="8"/>
  <c r="J620" i="8"/>
  <c r="J740" i="8"/>
  <c r="J283" i="8"/>
  <c r="J1068" i="8"/>
  <c r="C788" i="8"/>
  <c r="G453" i="7"/>
  <c r="G570" i="7"/>
  <c r="J347" i="8"/>
  <c r="J923" i="8"/>
  <c r="J667" i="8"/>
  <c r="J484" i="8"/>
  <c r="J354" i="8"/>
  <c r="J482" i="8"/>
  <c r="J874" i="8"/>
  <c r="G850" i="7"/>
  <c r="G866" i="7"/>
  <c r="G1050" i="7"/>
  <c r="J1082" i="8"/>
  <c r="J868" i="8"/>
  <c r="G578" i="7"/>
  <c r="K1110" i="7"/>
  <c r="J1098" i="8"/>
  <c r="J1044" i="8"/>
  <c r="G1057" i="7"/>
  <c r="G413" i="7"/>
  <c r="G1058" i="7"/>
  <c r="G802" i="7"/>
  <c r="G898" i="7"/>
  <c r="J291" i="8"/>
  <c r="J1100" i="8"/>
  <c r="J825" i="8"/>
  <c r="J1050" i="8"/>
  <c r="J331" i="8"/>
  <c r="J372" i="8"/>
  <c r="G444" i="7"/>
  <c r="E1110" i="7"/>
  <c r="F1110" i="7"/>
  <c r="J370" i="8"/>
  <c r="J675" i="8"/>
  <c r="J754" i="8"/>
  <c r="G1042" i="7"/>
  <c r="G625" i="7"/>
  <c r="J970" i="8"/>
  <c r="J547" i="8"/>
  <c r="J651" i="8"/>
  <c r="J452" i="8"/>
  <c r="J508" i="8"/>
  <c r="G954" i="7"/>
  <c r="Q1109" i="7"/>
  <c r="R1109" i="7" s="1"/>
  <c r="C1109" i="8" s="1"/>
  <c r="J355" i="8"/>
  <c r="J847" i="8"/>
  <c r="G452" i="7"/>
  <c r="L1110" i="7"/>
  <c r="J578" i="8"/>
  <c r="J523" i="8"/>
  <c r="J1083" i="8"/>
  <c r="J352" i="8"/>
  <c r="J673" i="8"/>
  <c r="J907" i="8"/>
  <c r="J842" i="8"/>
  <c r="J836" i="8"/>
  <c r="J1108" i="8"/>
  <c r="J639" i="8"/>
  <c r="J441" i="8"/>
  <c r="J320" i="8"/>
  <c r="J1039" i="8"/>
  <c r="J761" i="8"/>
  <c r="J495" i="8"/>
  <c r="J538" i="8"/>
  <c r="J952" i="8"/>
  <c r="J599" i="8"/>
  <c r="J633" i="8"/>
  <c r="J824" i="8"/>
  <c r="J483" i="8"/>
  <c r="J498" i="8"/>
  <c r="J1094" i="8"/>
  <c r="J431" i="8"/>
  <c r="J695" i="8"/>
  <c r="J1017" i="8"/>
  <c r="J864" i="8"/>
  <c r="J794" i="8"/>
  <c r="J775" i="8"/>
  <c r="J611" i="8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C1074" i="8"/>
  <c r="J378" i="8"/>
  <c r="J792" i="8"/>
  <c r="J425" i="8"/>
  <c r="J937" i="8"/>
  <c r="G934" i="7"/>
  <c r="G678" i="7"/>
  <c r="G893" i="7"/>
  <c r="G956" i="7"/>
  <c r="G791" i="7"/>
  <c r="G918" i="7"/>
  <c r="G1069" i="7"/>
  <c r="G813" i="7"/>
  <c r="G1068" i="7"/>
  <c r="L1109" i="7"/>
  <c r="K1109" i="7"/>
  <c r="J976" i="8"/>
  <c r="J663" i="8"/>
  <c r="J871" i="8"/>
  <c r="J255" i="8"/>
  <c r="J1096" i="8"/>
  <c r="J584" i="8"/>
  <c r="J438" i="8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G1081" i="7"/>
  <c r="J1089" i="8"/>
  <c r="J316" i="8"/>
  <c r="J929" i="8"/>
  <c r="J971" i="8"/>
  <c r="J715" i="8"/>
  <c r="J362" i="8"/>
  <c r="J964" i="8"/>
  <c r="J490" i="8"/>
  <c r="J481" i="8"/>
  <c r="G1106" i="7"/>
  <c r="G689" i="7"/>
  <c r="G738" i="7"/>
  <c r="G240" i="7"/>
  <c r="J972" i="8"/>
  <c r="J1032" i="8"/>
  <c r="C1105" i="8"/>
  <c r="J533" i="8"/>
  <c r="K1108" i="7"/>
  <c r="J1106" i="8"/>
  <c r="C1108" i="8"/>
  <c r="J670" i="8"/>
  <c r="J982" i="8"/>
  <c r="J506" i="8"/>
  <c r="J466" i="8"/>
  <c r="J787" i="8"/>
  <c r="J617" i="8"/>
  <c r="J361" i="8"/>
  <c r="J863" i="8"/>
  <c r="J1049" i="8"/>
  <c r="J1043" i="8"/>
  <c r="C724" i="8"/>
  <c r="J590" i="8"/>
  <c r="J980" i="8"/>
  <c r="J553" i="8"/>
  <c r="J334" i="8"/>
  <c r="J634" i="8"/>
  <c r="L1105" i="7"/>
  <c r="J1076" i="8"/>
  <c r="J979" i="8"/>
  <c r="J723" i="8"/>
  <c r="J338" i="8"/>
  <c r="J297" i="8"/>
  <c r="J762" i="8"/>
  <c r="J681" i="8"/>
  <c r="J531" i="8"/>
  <c r="J873" i="8"/>
  <c r="J1002" i="8"/>
  <c r="J994" i="8"/>
  <c r="J915" i="8"/>
  <c r="J659" i="8"/>
  <c r="J594" i="8"/>
  <c r="J332" i="8"/>
  <c r="J489" i="8"/>
  <c r="J1001" i="8"/>
  <c r="J337" i="8"/>
  <c r="J374" i="8"/>
  <c r="J630" i="8"/>
  <c r="J579" i="8"/>
  <c r="J519" i="8"/>
  <c r="J709" i="8"/>
  <c r="J974" i="8"/>
  <c r="J502" i="8"/>
  <c r="J453" i="8"/>
  <c r="J975" i="8"/>
  <c r="J977" i="8"/>
  <c r="J812" i="8"/>
  <c r="J1095" i="8"/>
  <c r="J728" i="8"/>
  <c r="J835" i="8"/>
  <c r="J637" i="8"/>
  <c r="J573" i="8"/>
  <c r="J814" i="8"/>
  <c r="J432" i="8"/>
  <c r="J445" i="8"/>
  <c r="J302" i="8"/>
  <c r="J944" i="8"/>
  <c r="G475" i="7"/>
  <c r="J829" i="8"/>
  <c r="J688" i="8"/>
  <c r="J958" i="8"/>
  <c r="J951" i="8"/>
  <c r="J701" i="8"/>
  <c r="J1021" i="8"/>
  <c r="J789" i="8"/>
  <c r="J277" i="8"/>
  <c r="J981" i="8"/>
  <c r="J743" i="8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J409" i="8"/>
  <c r="G112" i="7"/>
  <c r="G409" i="7"/>
  <c r="J470" i="8"/>
  <c r="J433" i="8"/>
  <c r="J945" i="8"/>
  <c r="J760" i="8"/>
  <c r="L1107" i="7"/>
  <c r="J875" i="8"/>
  <c r="J961" i="8"/>
  <c r="J619" i="8"/>
  <c r="J427" i="8"/>
  <c r="J513" i="8"/>
  <c r="J832" i="8"/>
  <c r="J257" i="8"/>
  <c r="J652" i="8"/>
  <c r="J642" i="8"/>
  <c r="J514" i="8"/>
  <c r="J288" i="8"/>
  <c r="J833" i="8"/>
  <c r="J422" i="8"/>
  <c r="J1092" i="8"/>
  <c r="J855" i="8"/>
  <c r="J671" i="8"/>
  <c r="J386" i="8"/>
  <c r="J576" i="8"/>
  <c r="J363" i="8"/>
  <c r="J1102" i="8"/>
  <c r="J900" i="8"/>
  <c r="J426" i="8"/>
  <c r="J449" i="8"/>
  <c r="J408" i="8"/>
  <c r="J818" i="8"/>
  <c r="J897" i="8"/>
  <c r="J885" i="8"/>
  <c r="J1015" i="8"/>
  <c r="J751" i="8"/>
  <c r="J811" i="8"/>
  <c r="J555" i="8"/>
  <c r="J772" i="8"/>
  <c r="J930" i="8"/>
  <c r="J554" i="8"/>
  <c r="J857" i="8"/>
  <c r="J815" i="8"/>
  <c r="J1051" i="8"/>
  <c r="J577" i="8"/>
  <c r="J769" i="8"/>
  <c r="J614" i="8"/>
  <c r="J358" i="8"/>
  <c r="J693" i="8"/>
  <c r="J437" i="8"/>
  <c r="J1028" i="8"/>
  <c r="J388" i="8"/>
  <c r="J400" i="8"/>
  <c r="J800" i="8"/>
  <c r="J742" i="8"/>
  <c r="J1013" i="8"/>
  <c r="J656" i="8"/>
  <c r="J607" i="8"/>
  <c r="J391" i="8"/>
  <c r="J705" i="8"/>
  <c r="J1038" i="8"/>
  <c r="J385" i="8"/>
  <c r="J894" i="8"/>
  <c r="J575" i="8"/>
  <c r="J1003" i="8"/>
  <c r="J747" i="8"/>
  <c r="J471" i="8"/>
  <c r="J1057" i="8"/>
  <c r="J550" i="8"/>
  <c r="J294" i="8"/>
  <c r="J629" i="8"/>
  <c r="J373" i="8"/>
  <c r="J678" i="8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J509" i="8"/>
  <c r="J692" i="8"/>
  <c r="J765" i="8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J399" i="8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J440" i="8"/>
  <c r="J1069" i="8"/>
  <c r="J401" i="8"/>
  <c r="J327" i="8"/>
  <c r="J925" i="8"/>
  <c r="J1041" i="8"/>
  <c r="J918" i="8"/>
  <c r="J612" i="8"/>
  <c r="J324" i="8"/>
  <c r="J413" i="8"/>
  <c r="J349" i="8"/>
  <c r="J605" i="8"/>
  <c r="J285" i="8"/>
  <c r="C366" i="8"/>
  <c r="J541" i="8"/>
  <c r="G295" i="7"/>
  <c r="G455" i="7"/>
  <c r="G78" i="7"/>
  <c r="G896" i="7"/>
  <c r="G640" i="7"/>
  <c r="G197" i="7"/>
  <c r="G983" i="7"/>
  <c r="G727" i="7"/>
  <c r="G565" i="7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J405" i="8"/>
  <c r="J764" i="8"/>
  <c r="J730" i="8"/>
  <c r="J1093" i="8"/>
  <c r="J928" i="8"/>
  <c r="J421" i="8"/>
  <c r="J700" i="8"/>
  <c r="B4" i="6"/>
  <c r="J887" i="8"/>
  <c r="J306" i="8"/>
  <c r="J336" i="8"/>
  <c r="J602" i="8"/>
  <c r="J790" i="8"/>
  <c r="J1059" i="8"/>
  <c r="J793" i="8"/>
  <c r="J345" i="8"/>
  <c r="J997" i="8"/>
  <c r="C852" i="8"/>
  <c r="J703" i="8"/>
  <c r="J1027" i="8"/>
  <c r="J771" i="8"/>
  <c r="J677" i="8"/>
  <c r="J387" i="8"/>
  <c r="J869" i="8"/>
  <c r="J474" i="8"/>
  <c r="J807" i="8"/>
  <c r="J1030" i="8"/>
  <c r="J572" i="8"/>
  <c r="J342" i="8"/>
  <c r="J357" i="8"/>
  <c r="J948" i="8"/>
  <c r="J984" i="8"/>
  <c r="J436" i="8"/>
  <c r="J615" i="8"/>
  <c r="J796" i="8"/>
  <c r="C798" i="8"/>
  <c r="J726" i="8"/>
  <c r="J729" i="8"/>
  <c r="J281" i="8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J300" i="8"/>
  <c r="J1007" i="8"/>
  <c r="J473" i="8"/>
  <c r="J921" i="8"/>
  <c r="J899" i="8"/>
  <c r="J643" i="8"/>
  <c r="J346" i="8"/>
  <c r="J456" i="8"/>
  <c r="J423" i="8"/>
  <c r="J534" i="8"/>
  <c r="J549" i="8"/>
  <c r="J259" i="8"/>
  <c r="J665" i="8"/>
  <c r="C926" i="8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J988" i="8"/>
  <c r="J268" i="8"/>
  <c r="J878" i="8"/>
  <c r="J1105" i="8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J628" i="8"/>
  <c r="J428" i="8"/>
  <c r="J1020" i="8"/>
  <c r="J548" i="8"/>
  <c r="J940" i="8"/>
  <c r="C494" i="8"/>
  <c r="J492" i="8"/>
  <c r="J532" i="8"/>
  <c r="J660" i="8"/>
  <c r="J382" i="8"/>
  <c r="J446" i="8"/>
  <c r="J510" i="8"/>
  <c r="J574" i="8"/>
  <c r="J638" i="8"/>
  <c r="J702" i="8"/>
  <c r="J766" i="8"/>
  <c r="J366" i="8"/>
  <c r="J430" i="8"/>
  <c r="J494" i="8"/>
  <c r="J558" i="8"/>
  <c r="J622" i="8"/>
  <c r="J646" i="8"/>
  <c r="J596" i="8"/>
  <c r="J350" i="8"/>
  <c r="J414" i="8"/>
  <c r="J734" i="8"/>
  <c r="J798" i="8"/>
  <c r="J830" i="8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J852" i="8"/>
  <c r="L412" i="7"/>
  <c r="K412" i="7"/>
  <c r="L860" i="7"/>
  <c r="K860" i="7"/>
  <c r="L277" i="7"/>
  <c r="K277" i="7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C414" i="8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C558" i="8"/>
  <c r="J556" i="8"/>
  <c r="L147" i="7"/>
  <c r="K147" i="7"/>
  <c r="L291" i="7"/>
  <c r="K291" i="7"/>
  <c r="L387" i="7"/>
  <c r="K387" i="7"/>
  <c r="L667" i="7"/>
  <c r="K667" i="7"/>
  <c r="L923" i="7"/>
  <c r="K923" i="7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B3" i="6"/>
  <c r="I5" i="4"/>
  <c r="H5" i="4"/>
  <c r="A5" i="6"/>
  <c r="A6" i="8" s="1"/>
  <c r="B6" i="4"/>
  <c r="F6" i="4"/>
  <c r="E6" i="4"/>
  <c r="G6" i="4"/>
  <c r="D6" i="4"/>
  <c r="C6" i="4"/>
  <c r="R1166" i="7" l="1"/>
  <c r="C1166" i="8" s="1"/>
  <c r="M1165" i="7"/>
  <c r="G1167" i="7"/>
  <c r="N1167" i="7" s="1"/>
  <c r="K1167" i="8"/>
  <c r="G1166" i="6"/>
  <c r="M1161" i="7"/>
  <c r="M1166" i="7"/>
  <c r="M1164" i="7"/>
  <c r="G1166" i="7"/>
  <c r="L1166" i="8"/>
  <c r="H1165" i="6"/>
  <c r="B1166" i="8" s="1"/>
  <c r="G1165" i="7"/>
  <c r="R1165" i="7"/>
  <c r="C1165" i="8" s="1"/>
  <c r="M1160" i="7"/>
  <c r="J1159" i="8"/>
  <c r="G1163" i="7"/>
  <c r="N1163" i="7" s="1"/>
  <c r="G1164" i="7"/>
  <c r="K1165" i="8"/>
  <c r="G1164" i="6"/>
  <c r="J1164" i="8"/>
  <c r="R1163" i="7"/>
  <c r="C1163" i="8" s="1"/>
  <c r="J1160" i="8"/>
  <c r="K1164" i="8"/>
  <c r="G1163" i="6"/>
  <c r="R1161" i="7"/>
  <c r="C1161" i="8" s="1"/>
  <c r="G1161" i="7"/>
  <c r="J1162" i="8"/>
  <c r="M1162" i="7"/>
  <c r="G1160" i="7"/>
  <c r="M1157" i="7"/>
  <c r="N1157" i="7" s="1"/>
  <c r="G1162" i="7"/>
  <c r="G1160" i="6"/>
  <c r="G1161" i="6"/>
  <c r="G1162" i="6"/>
  <c r="R1153" i="7"/>
  <c r="C1153" i="8" s="1"/>
  <c r="M1159" i="7"/>
  <c r="J1158" i="8"/>
  <c r="G1159" i="7"/>
  <c r="J1157" i="8"/>
  <c r="M1158" i="7"/>
  <c r="M1154" i="7"/>
  <c r="G1158" i="7"/>
  <c r="M1156" i="7"/>
  <c r="G1116" i="7"/>
  <c r="R1156" i="7"/>
  <c r="C1156" i="8" s="1"/>
  <c r="G1156" i="7"/>
  <c r="M1155" i="7"/>
  <c r="G1155" i="7"/>
  <c r="J1155" i="8"/>
  <c r="R1154" i="7"/>
  <c r="C1154" i="8" s="1"/>
  <c r="J1142" i="8"/>
  <c r="M1105" i="7"/>
  <c r="N1105" i="7" s="1"/>
  <c r="G1154" i="7"/>
  <c r="M1143" i="7"/>
  <c r="M1153" i="7"/>
  <c r="N1153" i="7" s="1"/>
  <c r="M1152" i="7"/>
  <c r="C1127" i="8"/>
  <c r="R1125" i="7"/>
  <c r="C1125" i="8" s="1"/>
  <c r="C1123" i="8"/>
  <c r="R1121" i="7"/>
  <c r="C1121" i="8" s="1"/>
  <c r="J1145" i="8"/>
  <c r="R1145" i="7"/>
  <c r="C1145" i="8" s="1"/>
  <c r="J1152" i="8"/>
  <c r="R1152" i="7"/>
  <c r="C1152" i="8" s="1"/>
  <c r="J1137" i="8"/>
  <c r="R1137" i="7"/>
  <c r="C1137" i="8" s="1"/>
  <c r="J1122" i="8"/>
  <c r="R1122" i="7"/>
  <c r="C1122" i="8" s="1"/>
  <c r="C1130" i="8"/>
  <c r="R1128" i="7"/>
  <c r="C1128" i="8" s="1"/>
  <c r="J1151" i="8"/>
  <c r="R1151" i="7"/>
  <c r="C1151" i="8" s="1"/>
  <c r="C1115" i="8"/>
  <c r="R1113" i="7"/>
  <c r="C1113" i="8" s="1"/>
  <c r="J1133" i="8"/>
  <c r="R1133" i="7"/>
  <c r="C1133" i="8" s="1"/>
  <c r="C1146" i="8"/>
  <c r="R1144" i="7"/>
  <c r="C1144" i="8" s="1"/>
  <c r="K1153" i="8"/>
  <c r="M1151" i="7"/>
  <c r="G1152" i="7"/>
  <c r="J1150" i="8"/>
  <c r="G1151" i="7"/>
  <c r="J1149" i="8"/>
  <c r="M1150" i="7"/>
  <c r="M1149" i="7"/>
  <c r="G1150" i="7"/>
  <c r="J1148" i="8"/>
  <c r="C1150" i="8"/>
  <c r="J1144" i="8"/>
  <c r="M1148" i="7"/>
  <c r="G1149" i="7"/>
  <c r="J1147" i="8"/>
  <c r="C1149" i="8"/>
  <c r="G1146" i="7"/>
  <c r="G1148" i="7"/>
  <c r="M1147" i="7"/>
  <c r="J1146" i="8"/>
  <c r="C1148" i="8"/>
  <c r="C1147" i="8"/>
  <c r="M1146" i="7"/>
  <c r="G1147" i="7"/>
  <c r="M1145" i="7"/>
  <c r="G1145" i="7"/>
  <c r="J1143" i="8"/>
  <c r="M1144" i="7"/>
  <c r="M1142" i="7"/>
  <c r="G1144" i="7"/>
  <c r="G1143" i="7"/>
  <c r="J1141" i="8"/>
  <c r="C1143" i="8"/>
  <c r="M1140" i="7"/>
  <c r="G1142" i="7"/>
  <c r="J1140" i="8"/>
  <c r="C1142" i="8"/>
  <c r="M1141" i="7"/>
  <c r="G1141" i="7"/>
  <c r="C1139" i="8"/>
  <c r="J1139" i="8"/>
  <c r="C1141" i="8"/>
  <c r="G1140" i="7"/>
  <c r="M1139" i="7"/>
  <c r="M1138" i="7"/>
  <c r="J1138" i="8"/>
  <c r="C1140" i="8"/>
  <c r="M1135" i="7"/>
  <c r="G1139" i="7"/>
  <c r="G1137" i="7"/>
  <c r="G1138" i="7"/>
  <c r="J1136" i="8"/>
  <c r="C1138" i="8"/>
  <c r="M1136" i="7"/>
  <c r="M1137" i="7"/>
  <c r="J1135" i="8"/>
  <c r="C1135" i="8"/>
  <c r="G1136" i="7"/>
  <c r="J1121" i="8"/>
  <c r="J1134" i="8"/>
  <c r="C1136" i="8"/>
  <c r="G1135" i="7"/>
  <c r="M1134" i="7"/>
  <c r="M1128" i="7"/>
  <c r="G1134" i="7"/>
  <c r="G1133" i="7"/>
  <c r="J1132" i="8"/>
  <c r="C1134" i="8"/>
  <c r="J1128" i="8"/>
  <c r="M1133" i="7"/>
  <c r="J1131" i="8"/>
  <c r="M1131" i="7"/>
  <c r="M1132" i="7"/>
  <c r="G1132" i="7"/>
  <c r="G1131" i="7"/>
  <c r="G1130" i="7"/>
  <c r="J1130" i="8"/>
  <c r="C1132" i="8"/>
  <c r="J1129" i="8"/>
  <c r="C1131" i="8"/>
  <c r="M1129" i="7"/>
  <c r="M1130" i="7"/>
  <c r="G1129" i="7"/>
  <c r="J1127" i="8"/>
  <c r="C1129" i="8"/>
  <c r="G1127" i="7"/>
  <c r="J1125" i="8"/>
  <c r="G1128" i="7"/>
  <c r="M1127" i="7"/>
  <c r="J1126" i="8"/>
  <c r="G1120" i="7"/>
  <c r="M1125" i="7"/>
  <c r="M1126" i="7"/>
  <c r="N1126" i="7" s="1"/>
  <c r="J1124" i="8"/>
  <c r="C1126" i="8"/>
  <c r="M1124" i="7"/>
  <c r="G1125" i="7"/>
  <c r="J1123" i="8"/>
  <c r="M1123" i="7"/>
  <c r="M1122" i="7"/>
  <c r="C1124" i="8"/>
  <c r="G1124" i="7"/>
  <c r="G1123" i="7"/>
  <c r="G1122" i="7"/>
  <c r="J1120" i="8"/>
  <c r="G1117" i="7"/>
  <c r="G1121" i="7"/>
  <c r="M1120" i="7"/>
  <c r="M1121" i="7"/>
  <c r="J1119" i="8"/>
  <c r="G1119" i="7"/>
  <c r="J1118" i="8"/>
  <c r="C1120" i="8"/>
  <c r="M1119" i="7"/>
  <c r="J1117" i="8"/>
  <c r="C1119" i="8"/>
  <c r="M1117" i="7"/>
  <c r="M1118" i="7"/>
  <c r="G1118" i="7"/>
  <c r="M1116" i="7"/>
  <c r="J1113" i="8"/>
  <c r="J1115" i="8"/>
  <c r="C1117" i="8"/>
  <c r="J1116" i="8"/>
  <c r="C1118" i="8"/>
  <c r="J1114" i="8"/>
  <c r="C1116" i="8"/>
  <c r="M1115" i="7"/>
  <c r="M1114" i="7"/>
  <c r="G1115" i="7"/>
  <c r="G1114" i="7"/>
  <c r="M1113" i="7"/>
  <c r="J1112" i="8"/>
  <c r="C1114" i="8"/>
  <c r="M1112" i="7"/>
  <c r="G1113" i="7"/>
  <c r="J1111" i="8"/>
  <c r="M1111" i="7"/>
  <c r="G1109" i="7"/>
  <c r="G1112" i="7"/>
  <c r="J1110" i="8"/>
  <c r="C1112" i="8"/>
  <c r="M1106" i="7"/>
  <c r="N1106" i="7" s="1"/>
  <c r="G1111" i="7"/>
  <c r="J1109" i="8"/>
  <c r="C1111" i="8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D7" i="4"/>
  <c r="G7" i="4"/>
  <c r="F7" i="4"/>
  <c r="E7" i="4"/>
  <c r="B7" i="4"/>
  <c r="C7" i="4"/>
  <c r="N1165" i="7" l="1"/>
  <c r="N1164" i="7"/>
  <c r="N1166" i="7"/>
  <c r="H1166" i="6"/>
  <c r="B1167" i="8" s="1"/>
  <c r="L1167" i="8"/>
  <c r="N1161" i="7"/>
  <c r="N1160" i="7"/>
  <c r="H1164" i="6"/>
  <c r="B1165" i="8" s="1"/>
  <c r="L1165" i="8"/>
  <c r="H1163" i="6"/>
  <c r="B1164" i="8" s="1"/>
  <c r="L1164" i="8"/>
  <c r="N1162" i="7"/>
  <c r="L1163" i="8"/>
  <c r="H1162" i="6"/>
  <c r="B1163" i="8" s="1"/>
  <c r="H1161" i="6"/>
  <c r="B1162" i="8" s="1"/>
  <c r="L1162" i="8"/>
  <c r="H1160" i="6"/>
  <c r="B1161" i="8" s="1"/>
  <c r="L1161" i="8"/>
  <c r="N1159" i="7"/>
  <c r="N1154" i="7"/>
  <c r="N1158" i="7"/>
  <c r="N1156" i="7"/>
  <c r="N1116" i="7"/>
  <c r="N1155" i="7"/>
  <c r="N1152" i="7"/>
  <c r="N1143" i="7"/>
  <c r="N1151" i="7"/>
  <c r="N1150" i="7"/>
  <c r="N1149" i="7"/>
  <c r="N1148" i="7"/>
  <c r="N1146" i="7"/>
  <c r="N1147" i="7"/>
  <c r="N1145" i="7"/>
  <c r="N1144" i="7"/>
  <c r="N1142" i="7"/>
  <c r="N1140" i="7"/>
  <c r="N1141" i="7"/>
  <c r="N1139" i="7"/>
  <c r="N1138" i="7"/>
  <c r="N1135" i="7"/>
  <c r="N1137" i="7"/>
  <c r="N1136" i="7"/>
  <c r="N1134" i="7"/>
  <c r="N1128" i="7"/>
  <c r="N1133" i="7"/>
  <c r="N1130" i="7"/>
  <c r="N1132" i="7"/>
  <c r="N1131" i="7"/>
  <c r="N1129" i="7"/>
  <c r="N1120" i="7"/>
  <c r="N1127" i="7"/>
  <c r="N1125" i="7"/>
  <c r="N1124" i="7"/>
  <c r="N1123" i="7"/>
  <c r="N1122" i="7"/>
  <c r="N1117" i="7"/>
  <c r="N1121" i="7"/>
  <c r="N1119" i="7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C8" i="4"/>
  <c r="E8" i="4"/>
  <c r="B8" i="4"/>
  <c r="G8" i="4"/>
  <c r="F8" i="4"/>
  <c r="D8" i="4"/>
  <c r="B7" i="6" l="1"/>
  <c r="I8" i="4"/>
  <c r="H8" i="4"/>
  <c r="A8" i="6"/>
  <c r="A9" i="8" s="1"/>
  <c r="G9" i="4"/>
  <c r="F9" i="4"/>
  <c r="C9" i="4"/>
  <c r="E9" i="4"/>
  <c r="D9" i="4"/>
  <c r="B9" i="4"/>
  <c r="I9" i="4" l="1"/>
  <c r="H9" i="4"/>
  <c r="A9" i="6"/>
  <c r="A10" i="8" s="1"/>
  <c r="B8" i="6"/>
  <c r="C10" i="4"/>
  <c r="D10" i="4"/>
  <c r="G10" i="4"/>
  <c r="E10" i="4"/>
  <c r="B10" i="4"/>
  <c r="F10" i="4"/>
  <c r="I10" i="4" l="1"/>
  <c r="H10" i="4"/>
  <c r="A10" i="6"/>
  <c r="A11" i="8" s="1"/>
  <c r="B9" i="6"/>
  <c r="F11" i="4"/>
  <c r="D11" i="4"/>
  <c r="E11" i="4"/>
  <c r="C11" i="4"/>
  <c r="G11" i="4"/>
  <c r="B11" i="4"/>
  <c r="H11" i="4" l="1"/>
  <c r="I11" i="4"/>
  <c r="A11" i="6"/>
  <c r="A12" i="8" s="1"/>
  <c r="B10" i="6"/>
  <c r="G12" i="4"/>
  <c r="D12" i="4"/>
  <c r="F12" i="4"/>
  <c r="C12" i="4"/>
  <c r="B12" i="4"/>
  <c r="E12" i="4"/>
  <c r="B11" i="6" l="1"/>
  <c r="I12" i="4"/>
  <c r="H12" i="4"/>
  <c r="A12" i="6"/>
  <c r="A13" i="8" s="1"/>
  <c r="C13" i="4"/>
  <c r="G13" i="4"/>
  <c r="F13" i="4"/>
  <c r="D13" i="4"/>
  <c r="E13" i="4"/>
  <c r="B13" i="4"/>
  <c r="H13" i="4" l="1"/>
  <c r="I13" i="4"/>
  <c r="A13" i="6"/>
  <c r="A14" i="8" s="1"/>
  <c r="B12" i="6"/>
  <c r="D14" i="4"/>
  <c r="F14" i="4"/>
  <c r="G14" i="4"/>
  <c r="C14" i="4"/>
  <c r="E14" i="4"/>
  <c r="B14" i="4"/>
  <c r="B13" i="6" l="1"/>
  <c r="H14" i="4"/>
  <c r="I14" i="4"/>
  <c r="A14" i="6"/>
  <c r="A15" i="8" s="1"/>
  <c r="B15" i="4"/>
  <c r="E15" i="4"/>
  <c r="D15" i="4"/>
  <c r="F15" i="4"/>
  <c r="C15" i="4"/>
  <c r="G15" i="4"/>
  <c r="B14" i="6" l="1"/>
  <c r="H15" i="4"/>
  <c r="I15" i="4"/>
  <c r="A15" i="6"/>
  <c r="A16" i="8" s="1"/>
  <c r="B16" i="4"/>
  <c r="C16" i="4"/>
  <c r="D16" i="4"/>
  <c r="G16" i="4"/>
  <c r="E16" i="4"/>
  <c r="F16" i="4"/>
  <c r="B15" i="6" l="1"/>
  <c r="I16" i="4"/>
  <c r="H16" i="4"/>
  <c r="A16" i="6"/>
  <c r="A17" i="8" s="1"/>
  <c r="B17" i="4"/>
  <c r="F17" i="4"/>
  <c r="G17" i="4"/>
  <c r="E17" i="4"/>
  <c r="D17" i="4"/>
  <c r="C17" i="4"/>
  <c r="I17" i="4" l="1"/>
  <c r="H17" i="4"/>
  <c r="A17" i="6"/>
  <c r="A18" i="8" s="1"/>
  <c r="B16" i="6"/>
  <c r="E18" i="4"/>
  <c r="C18" i="4"/>
  <c r="F18" i="4"/>
  <c r="G18" i="4"/>
  <c r="D18" i="4"/>
  <c r="B18" i="4"/>
  <c r="H18" i="4" l="1"/>
  <c r="I18" i="4"/>
  <c r="A18" i="6"/>
  <c r="A19" i="8" s="1"/>
  <c r="B17" i="6"/>
  <c r="G19" i="4"/>
  <c r="B19" i="4"/>
  <c r="C19" i="4"/>
  <c r="F19" i="4"/>
  <c r="E19" i="4"/>
  <c r="D19" i="4"/>
  <c r="B18" i="6" l="1"/>
  <c r="H19" i="4"/>
  <c r="I19" i="4"/>
  <c r="A19" i="6"/>
  <c r="A20" i="8" s="1"/>
  <c r="B20" i="4"/>
  <c r="E20" i="4"/>
  <c r="D20" i="4"/>
  <c r="F20" i="4"/>
  <c r="G20" i="4"/>
  <c r="C20" i="4"/>
  <c r="B19" i="6" l="1"/>
  <c r="I20" i="4"/>
  <c r="H20" i="4"/>
  <c r="A20" i="6"/>
  <c r="A21" i="8" s="1"/>
  <c r="G21" i="4"/>
  <c r="B21" i="4"/>
  <c r="C21" i="4"/>
  <c r="E21" i="4"/>
  <c r="F21" i="4"/>
  <c r="D21" i="4"/>
  <c r="H21" i="4" l="1"/>
  <c r="I21" i="4"/>
  <c r="A21" i="6"/>
  <c r="A22" i="8" s="1"/>
  <c r="B20" i="6"/>
  <c r="G22" i="4"/>
  <c r="E22" i="4"/>
  <c r="B22" i="4"/>
  <c r="F22" i="4"/>
  <c r="C22" i="4"/>
  <c r="D22" i="4"/>
  <c r="B21" i="6" l="1"/>
  <c r="I22" i="4"/>
  <c r="H22" i="4"/>
  <c r="A22" i="6"/>
  <c r="A23" i="8" s="1"/>
  <c r="D23" i="4"/>
  <c r="C23" i="4"/>
  <c r="F23" i="4"/>
  <c r="E23" i="4"/>
  <c r="B23" i="4"/>
  <c r="G23" i="4"/>
  <c r="I23" i="4" l="1"/>
  <c r="H23" i="4"/>
  <c r="A23" i="6"/>
  <c r="A24" i="8" s="1"/>
  <c r="B22" i="6"/>
  <c r="F24" i="4"/>
  <c r="D24" i="4"/>
  <c r="E24" i="4"/>
  <c r="B24" i="4"/>
  <c r="C24" i="4"/>
  <c r="G24" i="4"/>
  <c r="H24" i="4" l="1"/>
  <c r="I24" i="4"/>
  <c r="A24" i="6"/>
  <c r="A25" i="8" s="1"/>
  <c r="B23" i="6"/>
  <c r="E25" i="4"/>
  <c r="D25" i="4"/>
  <c r="B25" i="4"/>
  <c r="G25" i="4"/>
  <c r="F25" i="4"/>
  <c r="C25" i="4"/>
  <c r="B24" i="6" l="1"/>
  <c r="I25" i="4"/>
  <c r="H25" i="4"/>
  <c r="A25" i="6"/>
  <c r="A26" i="8" s="1"/>
  <c r="B26" i="4"/>
  <c r="G26" i="4"/>
  <c r="C26" i="4"/>
  <c r="E26" i="4"/>
  <c r="D26" i="4"/>
  <c r="F26" i="4"/>
  <c r="H26" i="4" l="1"/>
  <c r="I26" i="4"/>
  <c r="A26" i="6"/>
  <c r="A27" i="8" s="1"/>
  <c r="B25" i="6"/>
  <c r="D27" i="4"/>
  <c r="C27" i="4"/>
  <c r="B27" i="4"/>
  <c r="F27" i="4"/>
  <c r="E27" i="4"/>
  <c r="G27" i="4"/>
  <c r="B26" i="6" l="1"/>
  <c r="I27" i="4"/>
  <c r="H27" i="4"/>
  <c r="A27" i="6"/>
  <c r="A28" i="8" s="1"/>
  <c r="F28" i="4"/>
  <c r="C28" i="4"/>
  <c r="B28" i="4"/>
  <c r="G28" i="4"/>
  <c r="D28" i="4"/>
  <c r="E28" i="4"/>
  <c r="H28" i="4" l="1"/>
  <c r="I28" i="4"/>
  <c r="A28" i="6"/>
  <c r="A29" i="8" s="1"/>
  <c r="B27" i="6"/>
  <c r="G29" i="4"/>
  <c r="B29" i="4"/>
  <c r="D29" i="4"/>
  <c r="E29" i="4"/>
  <c r="F29" i="4"/>
  <c r="C29" i="4"/>
  <c r="B28" i="6" l="1"/>
  <c r="H29" i="4"/>
  <c r="I29" i="4"/>
  <c r="A29" i="6"/>
  <c r="A30" i="8" s="1"/>
  <c r="B30" i="4"/>
  <c r="E30" i="4"/>
  <c r="C30" i="4"/>
  <c r="G30" i="4"/>
  <c r="D30" i="4"/>
  <c r="F30" i="4"/>
  <c r="B29" i="6" l="1"/>
  <c r="H30" i="4"/>
  <c r="I30" i="4"/>
  <c r="A30" i="6"/>
  <c r="A31" i="8" s="1"/>
  <c r="C31" i="4"/>
  <c r="D31" i="4"/>
  <c r="F31" i="4"/>
  <c r="B31" i="4"/>
  <c r="E31" i="4"/>
  <c r="G31" i="4"/>
  <c r="B30" i="6" l="1"/>
  <c r="H31" i="4"/>
  <c r="I31" i="4"/>
  <c r="A31" i="6"/>
  <c r="A32" i="8" s="1"/>
  <c r="C32" i="4"/>
  <c r="B32" i="4"/>
  <c r="E32" i="4"/>
  <c r="G32" i="4"/>
  <c r="D32" i="4"/>
  <c r="F32" i="4"/>
  <c r="B31" i="6" l="1"/>
  <c r="I32" i="4"/>
  <c r="H32" i="4"/>
  <c r="A32" i="6"/>
  <c r="A33" i="8" s="1"/>
  <c r="C33" i="4"/>
  <c r="D33" i="4"/>
  <c r="G33" i="4"/>
  <c r="E33" i="4"/>
  <c r="B33" i="4"/>
  <c r="F33" i="4"/>
  <c r="B32" i="6" l="1"/>
  <c r="I33" i="4"/>
  <c r="H33" i="4"/>
  <c r="A33" i="6"/>
  <c r="A34" i="8" s="1"/>
  <c r="F34" i="4"/>
  <c r="D34" i="4"/>
  <c r="G34" i="4"/>
  <c r="B34" i="4"/>
  <c r="E34" i="4"/>
  <c r="C34" i="4"/>
  <c r="H34" i="4" l="1"/>
  <c r="I34" i="4"/>
  <c r="A34" i="6"/>
  <c r="A35" i="8" s="1"/>
  <c r="B33" i="6"/>
  <c r="B35" i="4"/>
  <c r="F35" i="4"/>
  <c r="D35" i="4"/>
  <c r="E35" i="4"/>
  <c r="G35" i="4"/>
  <c r="C35" i="4"/>
  <c r="B34" i="6" l="1"/>
  <c r="I35" i="4"/>
  <c r="H35" i="4"/>
  <c r="A35" i="6"/>
  <c r="A36" i="8" s="1"/>
  <c r="F36" i="4"/>
  <c r="G36" i="4"/>
  <c r="D36" i="4"/>
  <c r="C36" i="4"/>
  <c r="E36" i="4"/>
  <c r="B36" i="4"/>
  <c r="I36" i="4" l="1"/>
  <c r="H36" i="4"/>
  <c r="A36" i="6"/>
  <c r="A37" i="8" s="1"/>
  <c r="B35" i="6"/>
  <c r="E37" i="4"/>
  <c r="D37" i="4"/>
  <c r="G37" i="4"/>
  <c r="C37" i="4"/>
  <c r="B37" i="4"/>
  <c r="F37" i="4"/>
  <c r="H37" i="4" l="1"/>
  <c r="I37" i="4"/>
  <c r="A37" i="6"/>
  <c r="A38" i="8" s="1"/>
  <c r="B36" i="6"/>
  <c r="B38" i="4"/>
  <c r="C38" i="4"/>
  <c r="F38" i="4"/>
  <c r="E38" i="4"/>
  <c r="G38" i="4"/>
  <c r="D38" i="4"/>
  <c r="B37" i="6" l="1"/>
  <c r="I38" i="4"/>
  <c r="H38" i="4"/>
  <c r="A38" i="6"/>
  <c r="A39" i="8" s="1"/>
  <c r="E39" i="4"/>
  <c r="D39" i="4"/>
  <c r="F39" i="4"/>
  <c r="C39" i="4"/>
  <c r="G39" i="4"/>
  <c r="B39" i="4"/>
  <c r="H39" i="4" l="1"/>
  <c r="I39" i="4"/>
  <c r="A39" i="6"/>
  <c r="A40" i="8" s="1"/>
  <c r="B38" i="6"/>
  <c r="E40" i="4"/>
  <c r="B40" i="4"/>
  <c r="D40" i="4"/>
  <c r="F40" i="4"/>
  <c r="C40" i="4"/>
  <c r="G40" i="4"/>
  <c r="B39" i="6" l="1"/>
  <c r="H40" i="4"/>
  <c r="I40" i="4"/>
  <c r="A40" i="6"/>
  <c r="A41" i="8" s="1"/>
  <c r="C41" i="4"/>
  <c r="G41" i="4"/>
  <c r="E41" i="4"/>
  <c r="B41" i="4"/>
  <c r="F41" i="4"/>
  <c r="D41" i="4"/>
  <c r="B40" i="6" l="1"/>
  <c r="I41" i="4"/>
  <c r="H41" i="4"/>
  <c r="A41" i="6"/>
  <c r="A42" i="8" s="1"/>
  <c r="C42" i="4"/>
  <c r="G42" i="4"/>
  <c r="B42" i="4"/>
  <c r="D42" i="4"/>
  <c r="F42" i="4"/>
  <c r="E42" i="4"/>
  <c r="I42" i="4" l="1"/>
  <c r="H42" i="4"/>
  <c r="A42" i="6"/>
  <c r="A43" i="8" s="1"/>
  <c r="B41" i="6"/>
  <c r="D43" i="4"/>
  <c r="B43" i="4"/>
  <c r="E43" i="4"/>
  <c r="F43" i="4"/>
  <c r="G43" i="4"/>
  <c r="C43" i="4"/>
  <c r="I43" i="4" l="1"/>
  <c r="H43" i="4"/>
  <c r="A43" i="6"/>
  <c r="A44" i="8" s="1"/>
  <c r="B42" i="6"/>
  <c r="C44" i="4"/>
  <c r="B44" i="4"/>
  <c r="G44" i="4"/>
  <c r="F44" i="4"/>
  <c r="D44" i="4"/>
  <c r="E44" i="4"/>
  <c r="I44" i="4" l="1"/>
  <c r="H44" i="4"/>
  <c r="A44" i="6"/>
  <c r="A45" i="8" s="1"/>
  <c r="B43" i="6"/>
  <c r="E45" i="4"/>
  <c r="G45" i="4"/>
  <c r="F45" i="4"/>
  <c r="C45" i="4"/>
  <c r="D45" i="4"/>
  <c r="B45" i="4"/>
  <c r="B44" i="6" l="1"/>
  <c r="I45" i="4"/>
  <c r="H45" i="4"/>
  <c r="A45" i="6"/>
  <c r="A46" i="8" s="1"/>
  <c r="C46" i="4"/>
  <c r="D46" i="4"/>
  <c r="F46" i="4"/>
  <c r="B46" i="4"/>
  <c r="G46" i="4"/>
  <c r="E46" i="4"/>
  <c r="C44" i="6" l="1"/>
  <c r="D44" i="6" s="1"/>
  <c r="H46" i="4"/>
  <c r="I46" i="4"/>
  <c r="A46" i="6"/>
  <c r="A47" i="8" s="1"/>
  <c r="B45" i="6"/>
  <c r="B47" i="4"/>
  <c r="E47" i="4"/>
  <c r="C47" i="4"/>
  <c r="D47" i="4"/>
  <c r="F47" i="4"/>
  <c r="G47" i="4"/>
  <c r="B46" i="6" l="1"/>
  <c r="C46" i="6" s="1"/>
  <c r="D46" i="6" s="1"/>
  <c r="K45" i="8"/>
  <c r="C45" i="6"/>
  <c r="D45" i="6" s="1"/>
  <c r="H47" i="4"/>
  <c r="I47" i="4"/>
  <c r="A47" i="6"/>
  <c r="A48" i="8" s="1"/>
  <c r="B48" i="4"/>
  <c r="D48" i="4"/>
  <c r="F48" i="4"/>
  <c r="G48" i="4"/>
  <c r="C48" i="4"/>
  <c r="E48" i="4"/>
  <c r="B47" i="6" l="1"/>
  <c r="C47" i="6" s="1"/>
  <c r="D47" i="6" s="1"/>
  <c r="K47" i="8"/>
  <c r="K46" i="8"/>
  <c r="I48" i="4"/>
  <c r="H48" i="4"/>
  <c r="A48" i="6"/>
  <c r="A49" i="8" s="1"/>
  <c r="E49" i="4"/>
  <c r="D49" i="4"/>
  <c r="F49" i="4"/>
  <c r="G49" i="4"/>
  <c r="B49" i="4"/>
  <c r="C49" i="4"/>
  <c r="K48" i="8" l="1"/>
  <c r="H49" i="4"/>
  <c r="I49" i="4"/>
  <c r="A49" i="6"/>
  <c r="A50" i="8" s="1"/>
  <c r="B48" i="6"/>
  <c r="C50" i="4"/>
  <c r="G50" i="4"/>
  <c r="D50" i="4"/>
  <c r="E50" i="4"/>
  <c r="F50" i="4"/>
  <c r="B50" i="4"/>
  <c r="B49" i="6" l="1"/>
  <c r="C49" i="6" s="1"/>
  <c r="D49" i="6" s="1"/>
  <c r="C48" i="6"/>
  <c r="D48" i="6" s="1"/>
  <c r="I50" i="4"/>
  <c r="H50" i="4"/>
  <c r="A50" i="6"/>
  <c r="A51" i="8" s="1"/>
  <c r="D51" i="4"/>
  <c r="F51" i="4"/>
  <c r="C51" i="4"/>
  <c r="E51" i="4"/>
  <c r="B51" i="4"/>
  <c r="G51" i="4"/>
  <c r="K49" i="8" l="1"/>
  <c r="K50" i="8"/>
  <c r="B50" i="6"/>
  <c r="I51" i="4"/>
  <c r="H51" i="4"/>
  <c r="A51" i="6"/>
  <c r="A52" i="8" s="1"/>
  <c r="E52" i="4"/>
  <c r="F52" i="4"/>
  <c r="D52" i="4"/>
  <c r="B52" i="4"/>
  <c r="G52" i="4"/>
  <c r="C52" i="4"/>
  <c r="C50" i="6" l="1"/>
  <c r="D50" i="6" s="1"/>
  <c r="H52" i="4"/>
  <c r="I52" i="4"/>
  <c r="A52" i="6"/>
  <c r="A53" i="8" s="1"/>
  <c r="B51" i="6"/>
  <c r="B53" i="4"/>
  <c r="G53" i="4"/>
  <c r="D53" i="4"/>
  <c r="F53" i="4"/>
  <c r="E53" i="4"/>
  <c r="C53" i="4"/>
  <c r="B52" i="6" l="1"/>
  <c r="C52" i="6" s="1"/>
  <c r="D52" i="6" s="1"/>
  <c r="K51" i="8"/>
  <c r="C51" i="6"/>
  <c r="D51" i="6" s="1"/>
  <c r="I53" i="4"/>
  <c r="H53" i="4"/>
  <c r="A53" i="6"/>
  <c r="A54" i="8" s="1"/>
  <c r="G54" i="4"/>
  <c r="F54" i="4"/>
  <c r="E54" i="4"/>
  <c r="B54" i="4"/>
  <c r="C54" i="4"/>
  <c r="D54" i="4"/>
  <c r="K52" i="8" l="1"/>
  <c r="K53" i="8"/>
  <c r="B53" i="6"/>
  <c r="I54" i="4"/>
  <c r="H54" i="4"/>
  <c r="A54" i="6"/>
  <c r="A55" i="8" s="1"/>
  <c r="B55" i="4"/>
  <c r="F55" i="4"/>
  <c r="D55" i="4"/>
  <c r="C55" i="4"/>
  <c r="E55" i="4"/>
  <c r="G55" i="4"/>
  <c r="B54" i="6" l="1"/>
  <c r="C53" i="6"/>
  <c r="D53" i="6" s="1"/>
  <c r="I55" i="4"/>
  <c r="H55" i="4"/>
  <c r="A55" i="6"/>
  <c r="A56" i="8" s="1"/>
  <c r="C56" i="4"/>
  <c r="D56" i="4"/>
  <c r="B56" i="4"/>
  <c r="G56" i="4"/>
  <c r="E56" i="4"/>
  <c r="F56" i="4"/>
  <c r="K54" i="8" l="1"/>
  <c r="C54" i="6"/>
  <c r="D54" i="6" s="1"/>
  <c r="B55" i="6"/>
  <c r="I56" i="4"/>
  <c r="H56" i="4"/>
  <c r="A56" i="6"/>
  <c r="A57" i="8" s="1"/>
  <c r="F57" i="4"/>
  <c r="E57" i="4"/>
  <c r="B57" i="4"/>
  <c r="D57" i="4"/>
  <c r="C57" i="4"/>
  <c r="G57" i="4"/>
  <c r="K55" i="8" l="1"/>
  <c r="C55" i="6"/>
  <c r="D55" i="6" s="1"/>
  <c r="H57" i="4"/>
  <c r="I57" i="4"/>
  <c r="A57" i="6"/>
  <c r="A58" i="8" s="1"/>
  <c r="B56" i="6"/>
  <c r="C58" i="4"/>
  <c r="E58" i="4"/>
  <c r="B58" i="4"/>
  <c r="G58" i="4"/>
  <c r="D58" i="4"/>
  <c r="F58" i="4"/>
  <c r="B57" i="6" l="1"/>
  <c r="C57" i="6" s="1"/>
  <c r="D57" i="6" s="1"/>
  <c r="K56" i="8"/>
  <c r="C56" i="6"/>
  <c r="D56" i="6" s="1"/>
  <c r="I58" i="4"/>
  <c r="H58" i="4"/>
  <c r="A58" i="6"/>
  <c r="A59" i="8" s="1"/>
  <c r="D59" i="4"/>
  <c r="F59" i="4"/>
  <c r="C59" i="4"/>
  <c r="G59" i="4"/>
  <c r="B59" i="4"/>
  <c r="E59" i="4"/>
  <c r="K58" i="8" l="1"/>
  <c r="G57" i="6"/>
  <c r="L58" i="8" s="1"/>
  <c r="K57" i="8"/>
  <c r="H59" i="4"/>
  <c r="I59" i="4"/>
  <c r="A59" i="6"/>
  <c r="A60" i="8" s="1"/>
  <c r="B58" i="6"/>
  <c r="D60" i="4"/>
  <c r="B60" i="4"/>
  <c r="F60" i="4"/>
  <c r="E60" i="4"/>
  <c r="C60" i="4"/>
  <c r="G60" i="4"/>
  <c r="B59" i="6" l="1"/>
  <c r="C59" i="6" s="1"/>
  <c r="D59" i="6" s="1"/>
  <c r="C58" i="6"/>
  <c r="D58" i="6" s="1"/>
  <c r="H60" i="4"/>
  <c r="I60" i="4"/>
  <c r="A60" i="6"/>
  <c r="A61" i="8" s="1"/>
  <c r="C61" i="4"/>
  <c r="D61" i="4"/>
  <c r="F61" i="4"/>
  <c r="G61" i="4"/>
  <c r="B61" i="4"/>
  <c r="E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C62" i="4"/>
  <c r="D62" i="4"/>
  <c r="B62" i="4"/>
  <c r="G62" i="4"/>
  <c r="F62" i="4"/>
  <c r="E62" i="4"/>
  <c r="K61" i="8" l="1"/>
  <c r="G60" i="6"/>
  <c r="L61" i="8" s="1"/>
  <c r="B61" i="6"/>
  <c r="I62" i="4"/>
  <c r="H62" i="4"/>
  <c r="A62" i="6"/>
  <c r="A63" i="8" s="1"/>
  <c r="F63" i="4"/>
  <c r="G63" i="4"/>
  <c r="B63" i="4"/>
  <c r="E63" i="4"/>
  <c r="D63" i="4"/>
  <c r="C63" i="4"/>
  <c r="C61" i="6" l="1"/>
  <c r="D61" i="6" s="1"/>
  <c r="H63" i="4"/>
  <c r="I63" i="4"/>
  <c r="A63" i="6"/>
  <c r="A64" i="8" s="1"/>
  <c r="B62" i="6"/>
  <c r="F64" i="4"/>
  <c r="B64" i="4"/>
  <c r="C64" i="4"/>
  <c r="E64" i="4"/>
  <c r="D64" i="4"/>
  <c r="G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C65" i="4"/>
  <c r="F65" i="4"/>
  <c r="G65" i="4"/>
  <c r="E65" i="4"/>
  <c r="B65" i="4"/>
  <c r="D65" i="4"/>
  <c r="K64" i="8" l="1"/>
  <c r="G63" i="6"/>
  <c r="L64" i="8" s="1"/>
  <c r="K63" i="8"/>
  <c r="G62" i="6"/>
  <c r="L63" i="8" s="1"/>
  <c r="I65" i="4"/>
  <c r="H65" i="4"/>
  <c r="A65" i="6"/>
  <c r="A66" i="8" s="1"/>
  <c r="B64" i="6"/>
  <c r="F66" i="4"/>
  <c r="D66" i="4"/>
  <c r="E66" i="4"/>
  <c r="C66" i="4"/>
  <c r="B66" i="4"/>
  <c r="G66" i="4"/>
  <c r="C64" i="6" l="1"/>
  <c r="D64" i="6" s="1"/>
  <c r="H66" i="4"/>
  <c r="I66" i="4"/>
  <c r="A66" i="6"/>
  <c r="A67" i="8" s="1"/>
  <c r="B65" i="6"/>
  <c r="E67" i="4"/>
  <c r="B67" i="4"/>
  <c r="C67" i="4"/>
  <c r="G67" i="4"/>
  <c r="D67" i="4"/>
  <c r="F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D68" i="4"/>
  <c r="E68" i="4"/>
  <c r="G68" i="4"/>
  <c r="F68" i="4"/>
  <c r="B68" i="4"/>
  <c r="C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D69" i="4"/>
  <c r="G69" i="4"/>
  <c r="E69" i="4"/>
  <c r="C69" i="4"/>
  <c r="B69" i="4"/>
  <c r="F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F70" i="4"/>
  <c r="D70" i="4"/>
  <c r="E70" i="4"/>
  <c r="G70" i="4"/>
  <c r="C70" i="4"/>
  <c r="B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C71" i="4"/>
  <c r="B71" i="4"/>
  <c r="E71" i="4"/>
  <c r="F71" i="4"/>
  <c r="D71" i="4"/>
  <c r="G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D72" i="4"/>
  <c r="F72" i="4"/>
  <c r="C72" i="4"/>
  <c r="G72" i="4"/>
  <c r="B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E73" i="4"/>
  <c r="G73" i="4"/>
  <c r="C73" i="4"/>
  <c r="B73" i="4"/>
  <c r="D73" i="4"/>
  <c r="F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C74" i="4"/>
  <c r="E74" i="4"/>
  <c r="G74" i="4"/>
  <c r="B74" i="4"/>
  <c r="D74" i="4"/>
  <c r="F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G75" i="4"/>
  <c r="F75" i="4"/>
  <c r="C75" i="4"/>
  <c r="B75" i="4"/>
  <c r="E75" i="4"/>
  <c r="D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G76" i="4"/>
  <c r="C76" i="4"/>
  <c r="F76" i="4"/>
  <c r="E76" i="4"/>
  <c r="D76" i="4"/>
  <c r="B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G77" i="4"/>
  <c r="F77" i="4"/>
  <c r="C77" i="4"/>
  <c r="E77" i="4"/>
  <c r="B77" i="4"/>
  <c r="D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G78" i="4"/>
  <c r="E78" i="4"/>
  <c r="B78" i="4"/>
  <c r="D78" i="4"/>
  <c r="F78" i="4"/>
  <c r="C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B79" i="4"/>
  <c r="G79" i="4"/>
  <c r="C79" i="4"/>
  <c r="F79" i="4"/>
  <c r="E79" i="4"/>
  <c r="D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B80" i="4"/>
  <c r="C80" i="4"/>
  <c r="G80" i="4"/>
  <c r="E80" i="4"/>
  <c r="D80" i="4"/>
  <c r="F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F81" i="4"/>
  <c r="G81" i="4"/>
  <c r="C81" i="4"/>
  <c r="D81" i="4"/>
  <c r="E81" i="4"/>
  <c r="B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F82" i="4"/>
  <c r="B82" i="4"/>
  <c r="E82" i="4"/>
  <c r="C82" i="4"/>
  <c r="G82" i="4"/>
  <c r="D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G83" i="4"/>
  <c r="B83" i="4"/>
  <c r="D83" i="4"/>
  <c r="C83" i="4"/>
  <c r="E83" i="4"/>
  <c r="F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D84" i="4"/>
  <c r="B84" i="4"/>
  <c r="E84" i="4"/>
  <c r="G84" i="4"/>
  <c r="F84" i="4"/>
  <c r="C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C85" i="4"/>
  <c r="E85" i="4"/>
  <c r="F85" i="4"/>
  <c r="B85" i="4"/>
  <c r="D85" i="4"/>
  <c r="G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B86" i="4"/>
  <c r="D86" i="4"/>
  <c r="E86" i="4"/>
  <c r="C86" i="4"/>
  <c r="F86" i="4"/>
  <c r="G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C87" i="4"/>
  <c r="B87" i="4"/>
  <c r="G87" i="4"/>
  <c r="D87" i="4"/>
  <c r="E87" i="4"/>
  <c r="F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D88" i="4"/>
  <c r="B88" i="4"/>
  <c r="F88" i="4"/>
  <c r="E88" i="4"/>
  <c r="C88" i="4"/>
  <c r="G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G89" i="4"/>
  <c r="C89" i="4"/>
  <c r="E89" i="4"/>
  <c r="D89" i="4"/>
  <c r="B89" i="4"/>
  <c r="F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C90" i="4"/>
  <c r="D90" i="4"/>
  <c r="G90" i="4"/>
  <c r="F90" i="4"/>
  <c r="E90" i="4"/>
  <c r="B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C91" i="4"/>
  <c r="D91" i="4"/>
  <c r="B91" i="4"/>
  <c r="E91" i="4"/>
  <c r="F91" i="4"/>
  <c r="G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G92" i="4"/>
  <c r="D92" i="4"/>
  <c r="B92" i="4"/>
  <c r="C92" i="4"/>
  <c r="E92" i="4"/>
  <c r="F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F93" i="4"/>
  <c r="G93" i="4"/>
  <c r="E93" i="4"/>
  <c r="B93" i="4"/>
  <c r="C93" i="4"/>
  <c r="D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F94" i="4"/>
  <c r="B94" i="4"/>
  <c r="C94" i="4"/>
  <c r="E94" i="4"/>
  <c r="G94" i="4"/>
  <c r="D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E95" i="4"/>
  <c r="F95" i="4"/>
  <c r="C95" i="4"/>
  <c r="D95" i="4"/>
  <c r="G95" i="4"/>
  <c r="B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F96" i="4"/>
  <c r="G96" i="4"/>
  <c r="E96" i="4"/>
  <c r="B96" i="4"/>
  <c r="C96" i="4"/>
  <c r="D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B97" i="4"/>
  <c r="D97" i="4"/>
  <c r="C97" i="4"/>
  <c r="E97" i="4"/>
  <c r="F97" i="4"/>
  <c r="G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B98" i="4"/>
  <c r="G98" i="4"/>
  <c r="F98" i="4"/>
  <c r="C98" i="4"/>
  <c r="E98" i="4"/>
  <c r="D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F99" i="4"/>
  <c r="C99" i="4"/>
  <c r="E99" i="4"/>
  <c r="D99" i="4"/>
  <c r="B99" i="4"/>
  <c r="G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G100" i="4"/>
  <c r="D100" i="4"/>
  <c r="E100" i="4"/>
  <c r="C100" i="4"/>
  <c r="B100" i="4"/>
  <c r="F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G101" i="4"/>
  <c r="F101" i="4"/>
  <c r="D101" i="4"/>
  <c r="E101" i="4"/>
  <c r="B101" i="4"/>
  <c r="C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E102" i="4"/>
  <c r="C102" i="4"/>
  <c r="G102" i="4"/>
  <c r="F102" i="4"/>
  <c r="B102" i="4"/>
  <c r="D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D103" i="4"/>
  <c r="G103" i="4"/>
  <c r="F103" i="4"/>
  <c r="C103" i="4"/>
  <c r="B103" i="4"/>
  <c r="E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D104" i="4"/>
  <c r="G104" i="4"/>
  <c r="C104" i="4"/>
  <c r="F104" i="4"/>
  <c r="B104" i="4"/>
  <c r="E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B105" i="4"/>
  <c r="C105" i="4"/>
  <c r="G105" i="4"/>
  <c r="D105" i="4"/>
  <c r="F105" i="4"/>
  <c r="E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G106" i="4"/>
  <c r="C106" i="4"/>
  <c r="D106" i="4"/>
  <c r="E106" i="4"/>
  <c r="F106" i="4"/>
  <c r="B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G107" i="4"/>
  <c r="B107" i="4"/>
  <c r="E107" i="4"/>
  <c r="D107" i="4"/>
  <c r="F107" i="4"/>
  <c r="C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E108" i="4"/>
  <c r="G108" i="4"/>
  <c r="C108" i="4"/>
  <c r="F108" i="4"/>
  <c r="B108" i="4"/>
  <c r="D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B109" i="4"/>
  <c r="G109" i="4"/>
  <c r="F109" i="4"/>
  <c r="C109" i="4"/>
  <c r="D109" i="4"/>
  <c r="E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B110" i="4"/>
  <c r="C110" i="4"/>
  <c r="E110" i="4"/>
  <c r="G110" i="4"/>
  <c r="F110" i="4"/>
  <c r="D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G111" i="4"/>
  <c r="B111" i="4"/>
  <c r="F111" i="4"/>
  <c r="C111" i="4"/>
  <c r="E111" i="4"/>
  <c r="D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F112" i="4"/>
  <c r="C112" i="4"/>
  <c r="D112" i="4"/>
  <c r="E112" i="4"/>
  <c r="G112" i="4"/>
  <c r="B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E113" i="4"/>
  <c r="F113" i="4"/>
  <c r="D113" i="4"/>
  <c r="C113" i="4"/>
  <c r="B113" i="4"/>
  <c r="G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G114" i="4"/>
  <c r="F114" i="4"/>
  <c r="C114" i="4"/>
  <c r="E114" i="4"/>
  <c r="B114" i="4"/>
  <c r="D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D115" i="4"/>
  <c r="B115" i="4"/>
  <c r="C115" i="4"/>
  <c r="F115" i="4"/>
  <c r="E115" i="4"/>
  <c r="G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G116" i="4"/>
  <c r="F116" i="4"/>
  <c r="E116" i="4"/>
  <c r="D116" i="4"/>
  <c r="C116" i="4"/>
  <c r="B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B117" i="4"/>
  <c r="F117" i="4"/>
  <c r="E117" i="4"/>
  <c r="C117" i="4"/>
  <c r="G117" i="4"/>
  <c r="D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D118" i="4"/>
  <c r="C118" i="4"/>
  <c r="E118" i="4"/>
  <c r="B118" i="4"/>
  <c r="G118" i="4"/>
  <c r="F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E119" i="4"/>
  <c r="B119" i="4"/>
  <c r="D119" i="4"/>
  <c r="F119" i="4"/>
  <c r="G119" i="4"/>
  <c r="C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F120" i="4"/>
  <c r="E120" i="4"/>
  <c r="D120" i="4"/>
  <c r="G120" i="4"/>
  <c r="C120" i="4"/>
  <c r="B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G121" i="4"/>
  <c r="E121" i="4"/>
  <c r="C121" i="4"/>
  <c r="F121" i="4"/>
  <c r="D121" i="4"/>
  <c r="B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D122" i="4"/>
  <c r="F122" i="4"/>
  <c r="G122" i="4"/>
  <c r="C122" i="4"/>
  <c r="E122" i="4"/>
  <c r="B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G123" i="4"/>
  <c r="D123" i="4"/>
  <c r="B123" i="4"/>
  <c r="C123" i="4"/>
  <c r="E123" i="4"/>
  <c r="F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E124" i="4"/>
  <c r="F124" i="4"/>
  <c r="D124" i="4"/>
  <c r="G124" i="4"/>
  <c r="C124" i="4"/>
  <c r="B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E125" i="4"/>
  <c r="D125" i="4"/>
  <c r="B125" i="4"/>
  <c r="C125" i="4"/>
  <c r="F125" i="4"/>
  <c r="G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B126" i="4"/>
  <c r="C126" i="4"/>
  <c r="D126" i="4"/>
  <c r="F126" i="4"/>
  <c r="G126" i="4"/>
  <c r="E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B127" i="4"/>
  <c r="G127" i="4"/>
  <c r="D127" i="4"/>
  <c r="F127" i="4"/>
  <c r="C127" i="4"/>
  <c r="E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E128" i="4"/>
  <c r="F128" i="4"/>
  <c r="B128" i="4"/>
  <c r="D128" i="4"/>
  <c r="G128" i="4"/>
  <c r="C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C129" i="4"/>
  <c r="G129" i="4"/>
  <c r="B129" i="4"/>
  <c r="F129" i="4"/>
  <c r="E129" i="4"/>
  <c r="D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D130" i="4"/>
  <c r="G130" i="4"/>
  <c r="C130" i="4"/>
  <c r="E130" i="4"/>
  <c r="B130" i="4"/>
  <c r="F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E131" i="4"/>
  <c r="G131" i="4"/>
  <c r="D131" i="4"/>
  <c r="B131" i="4"/>
  <c r="F131" i="4"/>
  <c r="C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D132" i="4"/>
  <c r="E132" i="4"/>
  <c r="G132" i="4"/>
  <c r="B132" i="4"/>
  <c r="C132" i="4"/>
  <c r="F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D133" i="4"/>
  <c r="C133" i="4"/>
  <c r="F133" i="4"/>
  <c r="E133" i="4"/>
  <c r="B133" i="4"/>
  <c r="G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D134" i="4"/>
  <c r="C134" i="4"/>
  <c r="G134" i="4"/>
  <c r="B134" i="4"/>
  <c r="F134" i="4"/>
  <c r="E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E135" i="4"/>
  <c r="F135" i="4"/>
  <c r="D135" i="4"/>
  <c r="G135" i="4"/>
  <c r="B135" i="4"/>
  <c r="C135" i="4"/>
  <c r="B134" i="6" l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C134" i="6"/>
  <c r="H135" i="4"/>
  <c r="I135" i="4"/>
  <c r="A135" i="6"/>
  <c r="A136" i="8" s="1"/>
  <c r="F136" i="4"/>
  <c r="G136" i="4"/>
  <c r="B136" i="4"/>
  <c r="D136" i="4"/>
  <c r="C136" i="4"/>
  <c r="E136" i="4"/>
  <c r="D134" i="6" l="1"/>
  <c r="K135" i="8" s="1"/>
  <c r="B135" i="6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H136" i="4"/>
  <c r="I136" i="4"/>
  <c r="A136" i="6"/>
  <c r="A137" i="8" s="1"/>
  <c r="B137" i="4"/>
  <c r="F137" i="4"/>
  <c r="E137" i="4"/>
  <c r="D137" i="4"/>
  <c r="G137" i="4"/>
  <c r="C137" i="4"/>
  <c r="E134" i="6" l="1"/>
  <c r="F134" i="6" s="1"/>
  <c r="D135" i="8" s="1"/>
  <c r="G134" i="6"/>
  <c r="L135" i="8" s="1"/>
  <c r="B136" i="6"/>
  <c r="C136" i="6" s="1"/>
  <c r="F133" i="8"/>
  <c r="E134" i="8"/>
  <c r="G134" i="8" s="1"/>
  <c r="K136" i="8"/>
  <c r="G135" i="6"/>
  <c r="L136" i="8" s="1"/>
  <c r="E135" i="6"/>
  <c r="F135" i="6" s="1"/>
  <c r="D136" i="8" s="1"/>
  <c r="H137" i="4"/>
  <c r="I137" i="4"/>
  <c r="A137" i="6"/>
  <c r="A138" i="8" s="1"/>
  <c r="E138" i="4"/>
  <c r="C138" i="4"/>
  <c r="F138" i="4"/>
  <c r="D138" i="4"/>
  <c r="G138" i="4"/>
  <c r="B138" i="4"/>
  <c r="H134" i="6" l="1"/>
  <c r="B135" i="8" s="1"/>
  <c r="F135" i="8" s="1"/>
  <c r="D136" i="6"/>
  <c r="K137" i="8" s="1"/>
  <c r="H135" i="6"/>
  <c r="B136" i="8" s="1"/>
  <c r="B137" i="6"/>
  <c r="H138" i="4"/>
  <c r="I138" i="4"/>
  <c r="A138" i="6"/>
  <c r="A139" i="8" s="1"/>
  <c r="B139" i="4"/>
  <c r="C139" i="4"/>
  <c r="F139" i="4"/>
  <c r="G139" i="4"/>
  <c r="E139" i="4"/>
  <c r="D139" i="4"/>
  <c r="E135" i="8" l="1"/>
  <c r="G135" i="8" s="1"/>
  <c r="E136" i="6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F140" i="4"/>
  <c r="B140" i="4"/>
  <c r="C140" i="4"/>
  <c r="E140" i="4"/>
  <c r="G140" i="4"/>
  <c r="D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B141" i="4"/>
  <c r="G141" i="4"/>
  <c r="E141" i="4"/>
  <c r="F141" i="4"/>
  <c r="C141" i="4"/>
  <c r="D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E142" i="4"/>
  <c r="F142" i="4"/>
  <c r="G142" i="4"/>
  <c r="D142" i="4"/>
  <c r="C142" i="4"/>
  <c r="B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D143" i="4"/>
  <c r="G143" i="4"/>
  <c r="C143" i="4"/>
  <c r="E143" i="4"/>
  <c r="B143" i="4"/>
  <c r="F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F144" i="4"/>
  <c r="B144" i="4"/>
  <c r="C144" i="4"/>
  <c r="G144" i="4"/>
  <c r="E144" i="4"/>
  <c r="D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E145" i="4"/>
  <c r="B145" i="4"/>
  <c r="D145" i="4"/>
  <c r="G145" i="4"/>
  <c r="C145" i="4"/>
  <c r="F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C146" i="4"/>
  <c r="E146" i="4"/>
  <c r="F146" i="4"/>
  <c r="G146" i="4"/>
  <c r="B146" i="4"/>
  <c r="D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E147" i="4"/>
  <c r="C147" i="4"/>
  <c r="F147" i="4"/>
  <c r="B147" i="4"/>
  <c r="G147" i="4"/>
  <c r="D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C148" i="4"/>
  <c r="B148" i="4"/>
  <c r="D148" i="4"/>
  <c r="G148" i="4"/>
  <c r="E148" i="4"/>
  <c r="F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E149" i="4"/>
  <c r="G149" i="4"/>
  <c r="C149" i="4"/>
  <c r="D149" i="4"/>
  <c r="F149" i="4"/>
  <c r="B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C150" i="4"/>
  <c r="E150" i="4"/>
  <c r="G150" i="4"/>
  <c r="B150" i="4"/>
  <c r="F150" i="4"/>
  <c r="D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G151" i="4"/>
  <c r="E151" i="4"/>
  <c r="C151" i="4"/>
  <c r="D151" i="4"/>
  <c r="B151" i="4"/>
  <c r="F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D152" i="4"/>
  <c r="C152" i="4"/>
  <c r="G152" i="4"/>
  <c r="F152" i="4"/>
  <c r="B152" i="4"/>
  <c r="E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G153" i="4"/>
  <c r="F153" i="4"/>
  <c r="D153" i="4"/>
  <c r="E153" i="4"/>
  <c r="B153" i="4"/>
  <c r="C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D154" i="4"/>
  <c r="E154" i="4"/>
  <c r="F154" i="4"/>
  <c r="B154" i="4"/>
  <c r="C154" i="4"/>
  <c r="G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E155" i="4"/>
  <c r="G155" i="4"/>
  <c r="D155" i="4"/>
  <c r="C155" i="4"/>
  <c r="F155" i="4"/>
  <c r="B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G156" i="4"/>
  <c r="F156" i="4"/>
  <c r="E156" i="4"/>
  <c r="B156" i="4"/>
  <c r="C156" i="4"/>
  <c r="D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E157" i="4"/>
  <c r="G157" i="4"/>
  <c r="D157" i="4"/>
  <c r="B157" i="4"/>
  <c r="F157" i="4"/>
  <c r="C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G158" i="4"/>
  <c r="D158" i="4"/>
  <c r="B158" i="4"/>
  <c r="F158" i="4"/>
  <c r="C158" i="4"/>
  <c r="E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E159" i="4"/>
  <c r="F159" i="4"/>
  <c r="D159" i="4"/>
  <c r="B159" i="4"/>
  <c r="C159" i="4"/>
  <c r="G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D160" i="4"/>
  <c r="B160" i="4"/>
  <c r="G160" i="4"/>
  <c r="C160" i="4"/>
  <c r="F160" i="4"/>
  <c r="E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E161" i="4"/>
  <c r="D161" i="4"/>
  <c r="G161" i="4"/>
  <c r="B161" i="4"/>
  <c r="C161" i="4"/>
  <c r="F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C162" i="4"/>
  <c r="B162" i="4"/>
  <c r="E162" i="4"/>
  <c r="D162" i="4"/>
  <c r="F162" i="4"/>
  <c r="G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D163" i="4"/>
  <c r="F163" i="4"/>
  <c r="C163" i="4"/>
  <c r="G163" i="4"/>
  <c r="E163" i="4"/>
  <c r="B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D162" i="6" s="1"/>
  <c r="H163" i="4"/>
  <c r="I163" i="4"/>
  <c r="A163" i="6"/>
  <c r="A164" i="8" s="1"/>
  <c r="E164" i="4"/>
  <c r="B164" i="4"/>
  <c r="D164" i="4"/>
  <c r="F164" i="4"/>
  <c r="C164" i="4"/>
  <c r="G164" i="4"/>
  <c r="B163" i="6" l="1"/>
  <c r="K163" i="8"/>
  <c r="G162" i="6"/>
  <c r="L163" i="8" s="1"/>
  <c r="E162" i="6"/>
  <c r="F162" i="6" s="1"/>
  <c r="D163" i="8" s="1"/>
  <c r="H161" i="6"/>
  <c r="B162" i="8" s="1"/>
  <c r="F160" i="8"/>
  <c r="E160" i="8"/>
  <c r="G160" i="8" s="1"/>
  <c r="H160" i="6"/>
  <c r="B161" i="8" s="1"/>
  <c r="C163" i="6"/>
  <c r="D163" i="6" s="1"/>
  <c r="H164" i="4"/>
  <c r="I164" i="4"/>
  <c r="A164" i="6"/>
  <c r="A165" i="8" s="1"/>
  <c r="D165" i="4"/>
  <c r="G165" i="4"/>
  <c r="F165" i="4"/>
  <c r="C165" i="4"/>
  <c r="B165" i="4"/>
  <c r="E165" i="4"/>
  <c r="B164" i="6" l="1"/>
  <c r="C164" i="6" s="1"/>
  <c r="D164" i="6" s="1"/>
  <c r="K164" i="8"/>
  <c r="G163" i="6"/>
  <c r="L164" i="8" s="1"/>
  <c r="E163" i="6"/>
  <c r="F163" i="6" s="1"/>
  <c r="D164" i="8" s="1"/>
  <c r="H162" i="6"/>
  <c r="B163" i="8" s="1"/>
  <c r="F161" i="8"/>
  <c r="E161" i="8"/>
  <c r="G161" i="8" s="1"/>
  <c r="F162" i="8"/>
  <c r="E162" i="8"/>
  <c r="G162" i="8" s="1"/>
  <c r="I165" i="4"/>
  <c r="H165" i="4"/>
  <c r="A165" i="6"/>
  <c r="A166" i="8" s="1"/>
  <c r="B166" i="4"/>
  <c r="G166" i="4"/>
  <c r="F166" i="4"/>
  <c r="D166" i="4"/>
  <c r="C166" i="4"/>
  <c r="E166" i="4"/>
  <c r="H163" i="6" l="1"/>
  <c r="B164" i="8" s="1"/>
  <c r="E164" i="8" s="1"/>
  <c r="G164" i="8" s="1"/>
  <c r="K165" i="8"/>
  <c r="G164" i="6"/>
  <c r="L165" i="8" s="1"/>
  <c r="E164" i="6"/>
  <c r="F164" i="6" s="1"/>
  <c r="D165" i="8" s="1"/>
  <c r="F163" i="8"/>
  <c r="E163" i="8"/>
  <c r="G163" i="8" s="1"/>
  <c r="H166" i="4"/>
  <c r="I166" i="4"/>
  <c r="A166" i="6"/>
  <c r="A167" i="8" s="1"/>
  <c r="B165" i="6"/>
  <c r="C167" i="4"/>
  <c r="D167" i="4"/>
  <c r="B167" i="4"/>
  <c r="G167" i="4"/>
  <c r="E167" i="4"/>
  <c r="F167" i="4"/>
  <c r="F164" i="8" l="1"/>
  <c r="B166" i="6"/>
  <c r="C165" i="6"/>
  <c r="D165" i="6" s="1"/>
  <c r="H164" i="6"/>
  <c r="B165" i="8" s="1"/>
  <c r="I167" i="4"/>
  <c r="H167" i="4"/>
  <c r="A167" i="6"/>
  <c r="A168" i="8" s="1"/>
  <c r="G168" i="4"/>
  <c r="E168" i="4"/>
  <c r="C168" i="4"/>
  <c r="D168" i="4"/>
  <c r="B168" i="4"/>
  <c r="F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D169" i="4"/>
  <c r="F169" i="4"/>
  <c r="C169" i="4"/>
  <c r="E169" i="4"/>
  <c r="B169" i="4"/>
  <c r="G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E170" i="4"/>
  <c r="D170" i="4"/>
  <c r="B170" i="4"/>
  <c r="C170" i="4"/>
  <c r="F170" i="4"/>
  <c r="G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E171" i="4"/>
  <c r="B171" i="4"/>
  <c r="C171" i="4"/>
  <c r="F171" i="4"/>
  <c r="G171" i="4"/>
  <c r="D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D172" i="4"/>
  <c r="B172" i="4"/>
  <c r="C172" i="4"/>
  <c r="E172" i="4"/>
  <c r="F172" i="4"/>
  <c r="G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F173" i="4"/>
  <c r="C173" i="4"/>
  <c r="E173" i="4"/>
  <c r="B173" i="4"/>
  <c r="G173" i="4"/>
  <c r="D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F174" i="4"/>
  <c r="E174" i="4"/>
  <c r="C174" i="4"/>
  <c r="D174" i="4"/>
  <c r="G174" i="4"/>
  <c r="B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C175" i="4"/>
  <c r="G175" i="4"/>
  <c r="E175" i="4"/>
  <c r="F175" i="4"/>
  <c r="D175" i="4"/>
  <c r="B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C176" i="4"/>
  <c r="G176" i="4"/>
  <c r="E176" i="4"/>
  <c r="D176" i="4"/>
  <c r="B176" i="4"/>
  <c r="F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G177" i="4"/>
  <c r="B177" i="4"/>
  <c r="E177" i="4"/>
  <c r="F177" i="4"/>
  <c r="D177" i="4"/>
  <c r="C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D178" i="4"/>
  <c r="G178" i="4"/>
  <c r="B178" i="4"/>
  <c r="C178" i="4"/>
  <c r="E178" i="4"/>
  <c r="F178" i="4"/>
  <c r="E175" i="6" l="1"/>
  <c r="F175" i="6" s="1"/>
  <c r="D176" i="8" s="1"/>
  <c r="G175" i="6"/>
  <c r="L176" i="8" s="1"/>
  <c r="E175" i="8"/>
  <c r="G175" i="8" s="1"/>
  <c r="B177" i="6"/>
  <c r="C177" i="6" s="1"/>
  <c r="D177" i="6" s="1"/>
  <c r="K177" i="8"/>
  <c r="G176" i="6"/>
  <c r="L177" i="8" s="1"/>
  <c r="E176" i="6"/>
  <c r="F176" i="6" s="1"/>
  <c r="D177" i="8" s="1"/>
  <c r="F174" i="8"/>
  <c r="E174" i="8"/>
  <c r="G174" i="8" s="1"/>
  <c r="I178" i="4"/>
  <c r="H178" i="4"/>
  <c r="A178" i="6"/>
  <c r="A179" i="8" s="1"/>
  <c r="C179" i="4"/>
  <c r="G179" i="4"/>
  <c r="F179" i="4"/>
  <c r="E179" i="4"/>
  <c r="D179" i="4"/>
  <c r="B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D180" i="4"/>
  <c r="F180" i="4"/>
  <c r="G180" i="4"/>
  <c r="C180" i="4"/>
  <c r="E180" i="4"/>
  <c r="B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B181" i="4"/>
  <c r="C181" i="4"/>
  <c r="E181" i="4"/>
  <c r="D181" i="4"/>
  <c r="F181" i="4"/>
  <c r="G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G182" i="4"/>
  <c r="C182" i="4"/>
  <c r="D182" i="4"/>
  <c r="F182" i="4"/>
  <c r="E182" i="4"/>
  <c r="B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G183" i="4"/>
  <c r="D183" i="4"/>
  <c r="E183" i="4"/>
  <c r="F183" i="4"/>
  <c r="C183" i="4"/>
  <c r="B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C184" i="4"/>
  <c r="D184" i="4"/>
  <c r="F184" i="4"/>
  <c r="E184" i="4"/>
  <c r="G184" i="4"/>
  <c r="B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F185" i="4"/>
  <c r="D185" i="4"/>
  <c r="G185" i="4"/>
  <c r="C185" i="4"/>
  <c r="B185" i="4"/>
  <c r="E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G186" i="4"/>
  <c r="B186" i="4"/>
  <c r="C186" i="4"/>
  <c r="D186" i="4"/>
  <c r="F186" i="4"/>
  <c r="E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B187" i="4"/>
  <c r="G187" i="4"/>
  <c r="D187" i="4"/>
  <c r="C187" i="4"/>
  <c r="F187" i="4"/>
  <c r="E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G188" i="4"/>
  <c r="F188" i="4"/>
  <c r="D188" i="4"/>
  <c r="C188" i="4"/>
  <c r="B188" i="4"/>
  <c r="E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E189" i="4"/>
  <c r="C189" i="4"/>
  <c r="D189" i="4"/>
  <c r="B189" i="4"/>
  <c r="F189" i="4"/>
  <c r="G189" i="4"/>
  <c r="D187" i="6" l="1"/>
  <c r="K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G190" i="4"/>
  <c r="E190" i="4"/>
  <c r="D190" i="4"/>
  <c r="B190" i="4"/>
  <c r="C190" i="4"/>
  <c r="F190" i="4"/>
  <c r="E187" i="6" l="1"/>
  <c r="F187" i="6" s="1"/>
  <c r="D188" i="8" s="1"/>
  <c r="G187" i="6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D191" i="4"/>
  <c r="F191" i="4"/>
  <c r="C191" i="4"/>
  <c r="E191" i="4"/>
  <c r="G191" i="4"/>
  <c r="B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E192" i="4"/>
  <c r="G192" i="4"/>
  <c r="D192" i="4"/>
  <c r="B192" i="4"/>
  <c r="F192" i="4"/>
  <c r="C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C193" i="4"/>
  <c r="F193" i="4"/>
  <c r="E193" i="4"/>
  <c r="D193" i="4"/>
  <c r="G193" i="4"/>
  <c r="B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E194" i="4"/>
  <c r="C194" i="4"/>
  <c r="B194" i="4"/>
  <c r="D194" i="4"/>
  <c r="F194" i="4"/>
  <c r="G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E195" i="4"/>
  <c r="D195" i="4"/>
  <c r="F195" i="4"/>
  <c r="C195" i="4"/>
  <c r="G195" i="4"/>
  <c r="B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G196" i="4"/>
  <c r="D196" i="4"/>
  <c r="B196" i="4"/>
  <c r="F196" i="4"/>
  <c r="E196" i="4"/>
  <c r="C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F197" i="4"/>
  <c r="B197" i="4"/>
  <c r="C197" i="4"/>
  <c r="E197" i="4"/>
  <c r="D197" i="4"/>
  <c r="G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D198" i="4"/>
  <c r="B198" i="4"/>
  <c r="G198" i="4"/>
  <c r="E198" i="4"/>
  <c r="F198" i="4"/>
  <c r="C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E199" i="4"/>
  <c r="B199" i="4"/>
  <c r="F199" i="4"/>
  <c r="D199" i="4"/>
  <c r="G199" i="4"/>
  <c r="C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B200" i="4"/>
  <c r="D200" i="4"/>
  <c r="G200" i="4"/>
  <c r="E200" i="4"/>
  <c r="C200" i="4"/>
  <c r="F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E201" i="4"/>
  <c r="B201" i="4"/>
  <c r="F201" i="4"/>
  <c r="C201" i="4"/>
  <c r="G201" i="4"/>
  <c r="D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G202" i="4"/>
  <c r="F202" i="4"/>
  <c r="C202" i="4"/>
  <c r="B202" i="4"/>
  <c r="E202" i="4"/>
  <c r="D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C203" i="4"/>
  <c r="B203" i="4"/>
  <c r="D203" i="4"/>
  <c r="G203" i="4"/>
  <c r="F203" i="4"/>
  <c r="E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C204" i="4"/>
  <c r="D204" i="4"/>
  <c r="E204" i="4"/>
  <c r="B204" i="4"/>
  <c r="F204" i="4"/>
  <c r="G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G205" i="4"/>
  <c r="F205" i="4"/>
  <c r="B205" i="4"/>
  <c r="D205" i="4"/>
  <c r="C205" i="4"/>
  <c r="E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E206" i="4"/>
  <c r="B206" i="4"/>
  <c r="C206" i="4"/>
  <c r="F206" i="4"/>
  <c r="G206" i="4"/>
  <c r="D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D207" i="4"/>
  <c r="F207" i="4"/>
  <c r="B207" i="4"/>
  <c r="G207" i="4"/>
  <c r="E207" i="4"/>
  <c r="C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C208" i="4"/>
  <c r="B208" i="4"/>
  <c r="F208" i="4"/>
  <c r="E208" i="4"/>
  <c r="G208" i="4"/>
  <c r="D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C209" i="4"/>
  <c r="B209" i="4"/>
  <c r="D209" i="4"/>
  <c r="G209" i="4"/>
  <c r="F209" i="4"/>
  <c r="E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D210" i="4"/>
  <c r="B210" i="4"/>
  <c r="G210" i="4"/>
  <c r="E210" i="4"/>
  <c r="F210" i="4"/>
  <c r="C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F211" i="4"/>
  <c r="G211" i="4"/>
  <c r="D211" i="4"/>
  <c r="E211" i="4"/>
  <c r="C211" i="4"/>
  <c r="B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G212" i="4"/>
  <c r="B212" i="4"/>
  <c r="F212" i="4"/>
  <c r="C212" i="4"/>
  <c r="D212" i="4"/>
  <c r="E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D213" i="4"/>
  <c r="E213" i="4"/>
  <c r="F213" i="4"/>
  <c r="G213" i="4"/>
  <c r="C213" i="4"/>
  <c r="B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F214" i="4"/>
  <c r="B214" i="4"/>
  <c r="G214" i="4"/>
  <c r="D214" i="4"/>
  <c r="E214" i="4"/>
  <c r="C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B215" i="4"/>
  <c r="C215" i="4"/>
  <c r="G215" i="4"/>
  <c r="F215" i="4"/>
  <c r="D215" i="4"/>
  <c r="E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B216" i="4"/>
  <c r="F216" i="4"/>
  <c r="D216" i="4"/>
  <c r="G216" i="4"/>
  <c r="C216" i="4"/>
  <c r="E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B217" i="4"/>
  <c r="C217" i="4"/>
  <c r="E217" i="4"/>
  <c r="G217" i="4"/>
  <c r="D217" i="4"/>
  <c r="F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F218" i="4"/>
  <c r="E218" i="4"/>
  <c r="C218" i="4"/>
  <c r="D218" i="4"/>
  <c r="B218" i="4"/>
  <c r="G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D219" i="4"/>
  <c r="E219" i="4"/>
  <c r="B219" i="4"/>
  <c r="C219" i="4"/>
  <c r="G219" i="4"/>
  <c r="F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F220" i="4"/>
  <c r="G220" i="4"/>
  <c r="D220" i="4"/>
  <c r="C220" i="4"/>
  <c r="E220" i="4"/>
  <c r="B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F221" i="4"/>
  <c r="B221" i="4"/>
  <c r="E221" i="4"/>
  <c r="D221" i="4"/>
  <c r="G221" i="4"/>
  <c r="C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E222" i="4"/>
  <c r="F222" i="4"/>
  <c r="C222" i="4"/>
  <c r="B222" i="4"/>
  <c r="G222" i="4"/>
  <c r="D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C223" i="4"/>
  <c r="G223" i="4"/>
  <c r="B223" i="4"/>
  <c r="F223" i="4"/>
  <c r="D223" i="4"/>
  <c r="E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F224" i="4"/>
  <c r="B224" i="4"/>
  <c r="C224" i="4"/>
  <c r="D224" i="4"/>
  <c r="E224" i="4"/>
  <c r="G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F225" i="4"/>
  <c r="B225" i="4"/>
  <c r="C225" i="4"/>
  <c r="D225" i="4"/>
  <c r="G225" i="4"/>
  <c r="E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C226" i="4"/>
  <c r="F226" i="4"/>
  <c r="G226" i="4"/>
  <c r="B226" i="4"/>
  <c r="E226" i="4"/>
  <c r="D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G227" i="4"/>
  <c r="C227" i="4"/>
  <c r="F227" i="4"/>
  <c r="B227" i="4"/>
  <c r="D227" i="4"/>
  <c r="E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B228" i="4"/>
  <c r="D228" i="4"/>
  <c r="C228" i="4"/>
  <c r="G228" i="4"/>
  <c r="F228" i="4"/>
  <c r="E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G229" i="4"/>
  <c r="C229" i="4"/>
  <c r="E229" i="4"/>
  <c r="B229" i="4"/>
  <c r="D229" i="4"/>
  <c r="F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D230" i="4"/>
  <c r="C230" i="4"/>
  <c r="E230" i="4"/>
  <c r="F230" i="4"/>
  <c r="B230" i="4"/>
  <c r="G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B231" i="4"/>
  <c r="D231" i="4"/>
  <c r="F231" i="4"/>
  <c r="C231" i="4"/>
  <c r="E231" i="4"/>
  <c r="G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F232" i="4"/>
  <c r="G232" i="4"/>
  <c r="D232" i="4"/>
  <c r="E232" i="4"/>
  <c r="B232" i="4"/>
  <c r="C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C233" i="4"/>
  <c r="G233" i="4"/>
  <c r="F233" i="4"/>
  <c r="E233" i="4"/>
  <c r="D233" i="4"/>
  <c r="B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B234" i="4"/>
  <c r="C234" i="4"/>
  <c r="D234" i="4"/>
  <c r="F234" i="4"/>
  <c r="E234" i="4"/>
  <c r="G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B235" i="4"/>
  <c r="D235" i="4"/>
  <c r="E235" i="4"/>
  <c r="C235" i="4"/>
  <c r="F235" i="4"/>
  <c r="G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F236" i="4"/>
  <c r="B236" i="4"/>
  <c r="E236" i="4"/>
  <c r="D236" i="4"/>
  <c r="G236" i="4"/>
  <c r="C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E237" i="4"/>
  <c r="G237" i="4"/>
  <c r="C237" i="4"/>
  <c r="F237" i="4"/>
  <c r="B237" i="4"/>
  <c r="D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C238" i="4"/>
  <c r="G238" i="4"/>
  <c r="F238" i="4"/>
  <c r="D238" i="4"/>
  <c r="E238" i="4"/>
  <c r="B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F239" i="4"/>
  <c r="C239" i="4"/>
  <c r="D239" i="4"/>
  <c r="E239" i="4"/>
  <c r="B239" i="4"/>
  <c r="G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B240" i="4"/>
  <c r="C240" i="4"/>
  <c r="G240" i="4"/>
  <c r="F240" i="4"/>
  <c r="D240" i="4"/>
  <c r="E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D241" i="4"/>
  <c r="B241" i="4"/>
  <c r="G241" i="4"/>
  <c r="E241" i="4"/>
  <c r="F241" i="4"/>
  <c r="C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E242" i="4"/>
  <c r="B242" i="4"/>
  <c r="C242" i="4"/>
  <c r="G242" i="4"/>
  <c r="D242" i="4"/>
  <c r="F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C243" i="4"/>
  <c r="E243" i="4"/>
  <c r="B243" i="4"/>
  <c r="F243" i="4"/>
  <c r="G243" i="4"/>
  <c r="D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E244" i="4"/>
  <c r="G244" i="4"/>
  <c r="F244" i="4"/>
  <c r="D244" i="4"/>
  <c r="C244" i="4"/>
  <c r="B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E245" i="4"/>
  <c r="B245" i="4"/>
  <c r="D245" i="4"/>
  <c r="C245" i="4"/>
  <c r="F245" i="4"/>
  <c r="G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C246" i="4"/>
  <c r="D246" i="4"/>
  <c r="F246" i="4"/>
  <c r="B246" i="4"/>
  <c r="E246" i="4"/>
  <c r="G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B247" i="4"/>
  <c r="E247" i="4"/>
  <c r="D247" i="4"/>
  <c r="C247" i="4"/>
  <c r="G247" i="4"/>
  <c r="F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F248" i="4"/>
  <c r="B248" i="4"/>
  <c r="C248" i="4"/>
  <c r="D248" i="4"/>
  <c r="E248" i="4"/>
  <c r="G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D249" i="4"/>
  <c r="B249" i="4"/>
  <c r="G249" i="4"/>
  <c r="E249" i="4"/>
  <c r="F249" i="4"/>
  <c r="C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C250" i="4"/>
  <c r="E250" i="4"/>
  <c r="F250" i="4"/>
  <c r="G250" i="4"/>
  <c r="B250" i="4"/>
  <c r="D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C251" i="4"/>
  <c r="E251" i="4"/>
  <c r="G251" i="4"/>
  <c r="D251" i="4"/>
  <c r="B251" i="4"/>
  <c r="F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D252" i="4"/>
  <c r="B252" i="4"/>
  <c r="C252" i="4"/>
  <c r="F252" i="4"/>
  <c r="G252" i="4"/>
  <c r="E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F253" i="4"/>
  <c r="C253" i="4"/>
  <c r="D253" i="4"/>
  <c r="E253" i="4"/>
  <c r="G253" i="4"/>
  <c r="B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B254" i="4"/>
  <c r="F254" i="4"/>
  <c r="C254" i="4"/>
  <c r="E254" i="4"/>
  <c r="D254" i="4"/>
  <c r="G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G255" i="4"/>
  <c r="F255" i="4"/>
  <c r="B255" i="4"/>
  <c r="D255" i="4"/>
  <c r="C255" i="4"/>
  <c r="E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G256" i="4"/>
  <c r="B256" i="4"/>
  <c r="C256" i="4"/>
  <c r="E256" i="4"/>
  <c r="D256" i="4"/>
  <c r="F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D257" i="4"/>
  <c r="C257" i="4"/>
  <c r="E257" i="4"/>
  <c r="G257" i="4"/>
  <c r="F257" i="4"/>
  <c r="B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F258" i="4"/>
  <c r="C258" i="4"/>
  <c r="D258" i="4"/>
  <c r="B258" i="4"/>
  <c r="G258" i="4"/>
  <c r="E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F259" i="4"/>
  <c r="E259" i="4"/>
  <c r="C259" i="4"/>
  <c r="G259" i="4"/>
  <c r="D259" i="4"/>
  <c r="B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C260" i="4"/>
  <c r="E260" i="4"/>
  <c r="G260" i="4"/>
  <c r="B260" i="4"/>
  <c r="F260" i="4"/>
  <c r="D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F261" i="4"/>
  <c r="E261" i="4"/>
  <c r="C261" i="4"/>
  <c r="D261" i="4"/>
  <c r="B261" i="4"/>
  <c r="G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D262" i="4"/>
  <c r="F262" i="4"/>
  <c r="G262" i="4"/>
  <c r="C262" i="4"/>
  <c r="B262" i="4"/>
  <c r="E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B263" i="4"/>
  <c r="G263" i="4"/>
  <c r="D263" i="4"/>
  <c r="E263" i="4"/>
  <c r="C263" i="4"/>
  <c r="F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C264" i="4"/>
  <c r="B264" i="4"/>
  <c r="D264" i="4"/>
  <c r="G264" i="4"/>
  <c r="F264" i="4"/>
  <c r="E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F265" i="4"/>
  <c r="B265" i="4"/>
  <c r="E265" i="4"/>
  <c r="D265" i="4"/>
  <c r="G265" i="4"/>
  <c r="C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G266" i="4"/>
  <c r="E266" i="4"/>
  <c r="F266" i="4"/>
  <c r="B266" i="4"/>
  <c r="C266" i="4"/>
  <c r="D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D267" i="4"/>
  <c r="E267" i="4"/>
  <c r="B267" i="4"/>
  <c r="G267" i="4"/>
  <c r="C267" i="4"/>
  <c r="F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B268" i="4"/>
  <c r="G268" i="4"/>
  <c r="D268" i="4"/>
  <c r="C268" i="4"/>
  <c r="E268" i="4"/>
  <c r="F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B269" i="4"/>
  <c r="E269" i="4"/>
  <c r="G269" i="4"/>
  <c r="D269" i="4"/>
  <c r="F269" i="4"/>
  <c r="C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C270" i="4"/>
  <c r="F270" i="4"/>
  <c r="G270" i="4"/>
  <c r="D270" i="4"/>
  <c r="E270" i="4"/>
  <c r="B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D271" i="4"/>
  <c r="C271" i="4"/>
  <c r="E271" i="4"/>
  <c r="F271" i="4"/>
  <c r="G271" i="4"/>
  <c r="B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G272" i="4"/>
  <c r="D272" i="4"/>
  <c r="B272" i="4"/>
  <c r="E272" i="4"/>
  <c r="F272" i="4"/>
  <c r="C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F273" i="4"/>
  <c r="G273" i="4"/>
  <c r="E273" i="4"/>
  <c r="B273" i="4"/>
  <c r="C273" i="4"/>
  <c r="D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D274" i="4"/>
  <c r="G274" i="4"/>
  <c r="C274" i="4"/>
  <c r="B274" i="4"/>
  <c r="E274" i="4"/>
  <c r="F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D275" i="4"/>
  <c r="B275" i="4"/>
  <c r="E275" i="4"/>
  <c r="G275" i="4"/>
  <c r="C275" i="4"/>
  <c r="F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G276" i="4"/>
  <c r="B276" i="4"/>
  <c r="C276" i="4"/>
  <c r="F276" i="4"/>
  <c r="D276" i="4"/>
  <c r="E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C277" i="4"/>
  <c r="G277" i="4"/>
  <c r="D277" i="4"/>
  <c r="B277" i="4"/>
  <c r="F277" i="4"/>
  <c r="E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E278" i="4"/>
  <c r="C278" i="4"/>
  <c r="D278" i="4"/>
  <c r="B278" i="4"/>
  <c r="G278" i="4"/>
  <c r="F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E279" i="4"/>
  <c r="G279" i="4"/>
  <c r="C279" i="4"/>
  <c r="B279" i="4"/>
  <c r="D279" i="4"/>
  <c r="F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F280" i="4"/>
  <c r="G280" i="4"/>
  <c r="D280" i="4"/>
  <c r="C280" i="4"/>
  <c r="E280" i="4"/>
  <c r="B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C281" i="4"/>
  <c r="F281" i="4"/>
  <c r="D281" i="4"/>
  <c r="E281" i="4"/>
  <c r="B281" i="4"/>
  <c r="G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C282" i="4"/>
  <c r="E282" i="4"/>
  <c r="D282" i="4"/>
  <c r="F282" i="4"/>
  <c r="G282" i="4"/>
  <c r="B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D283" i="4"/>
  <c r="G283" i="4"/>
  <c r="C283" i="4"/>
  <c r="B283" i="4"/>
  <c r="E283" i="4"/>
  <c r="F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G284" i="4"/>
  <c r="F284" i="4"/>
  <c r="E284" i="4"/>
  <c r="D284" i="4"/>
  <c r="C284" i="4"/>
  <c r="B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E285" i="4"/>
  <c r="F285" i="4"/>
  <c r="D285" i="4"/>
  <c r="B285" i="4"/>
  <c r="G285" i="4"/>
  <c r="C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C286" i="4"/>
  <c r="F286" i="4"/>
  <c r="E286" i="4"/>
  <c r="D286" i="4"/>
  <c r="B286" i="4"/>
  <c r="G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F287" i="4"/>
  <c r="D287" i="4"/>
  <c r="E287" i="4"/>
  <c r="C287" i="4"/>
  <c r="G287" i="4"/>
  <c r="B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F288" i="4"/>
  <c r="E288" i="4"/>
  <c r="G288" i="4"/>
  <c r="B288" i="4"/>
  <c r="C288" i="4"/>
  <c r="D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B289" i="4"/>
  <c r="C289" i="4"/>
  <c r="D289" i="4"/>
  <c r="G289" i="4"/>
  <c r="E289" i="4"/>
  <c r="F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E290" i="4"/>
  <c r="F290" i="4"/>
  <c r="D290" i="4"/>
  <c r="G290" i="4"/>
  <c r="C290" i="4"/>
  <c r="B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G291" i="4"/>
  <c r="B291" i="4"/>
  <c r="C291" i="4"/>
  <c r="F291" i="4"/>
  <c r="E291" i="4"/>
  <c r="D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G292" i="4"/>
  <c r="F292" i="4"/>
  <c r="E292" i="4"/>
  <c r="B292" i="4"/>
  <c r="D292" i="4"/>
  <c r="C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B293" i="4"/>
  <c r="D293" i="4"/>
  <c r="G293" i="4"/>
  <c r="C293" i="4"/>
  <c r="E293" i="4"/>
  <c r="F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E294" i="4"/>
  <c r="B294" i="4"/>
  <c r="D294" i="4"/>
  <c r="F294" i="4"/>
  <c r="C294" i="4"/>
  <c r="G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F295" i="4"/>
  <c r="B295" i="4"/>
  <c r="D295" i="4"/>
  <c r="G295" i="4"/>
  <c r="E295" i="4"/>
  <c r="C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E296" i="4"/>
  <c r="D296" i="4"/>
  <c r="G296" i="4"/>
  <c r="F296" i="4"/>
  <c r="B296" i="4"/>
  <c r="C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D297" i="4"/>
  <c r="G297" i="4"/>
  <c r="E297" i="4"/>
  <c r="C297" i="4"/>
  <c r="F297" i="4"/>
  <c r="B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B298" i="4"/>
  <c r="C298" i="4"/>
  <c r="D298" i="4"/>
  <c r="E298" i="4"/>
  <c r="G298" i="4"/>
  <c r="F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G299" i="4"/>
  <c r="F299" i="4"/>
  <c r="E299" i="4"/>
  <c r="D299" i="4"/>
  <c r="C299" i="4"/>
  <c r="B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B300" i="4"/>
  <c r="F300" i="4"/>
  <c r="D300" i="4"/>
  <c r="C300" i="4"/>
  <c r="G300" i="4"/>
  <c r="E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B301" i="4"/>
  <c r="G301" i="4"/>
  <c r="D301" i="4"/>
  <c r="E301" i="4"/>
  <c r="F301" i="4"/>
  <c r="C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B302" i="4"/>
  <c r="F302" i="4"/>
  <c r="C302" i="4"/>
  <c r="G302" i="4"/>
  <c r="E302" i="4"/>
  <c r="D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F303" i="4"/>
  <c r="B303" i="4"/>
  <c r="E303" i="4"/>
  <c r="G303" i="4"/>
  <c r="C303" i="4"/>
  <c r="D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G304" i="4"/>
  <c r="E304" i="4"/>
  <c r="B304" i="4"/>
  <c r="D304" i="4"/>
  <c r="F304" i="4"/>
  <c r="C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B305" i="4"/>
  <c r="C305" i="4"/>
  <c r="F305" i="4"/>
  <c r="E305" i="4"/>
  <c r="D305" i="4"/>
  <c r="G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D306" i="4"/>
  <c r="G306" i="4"/>
  <c r="E306" i="4"/>
  <c r="F306" i="4"/>
  <c r="C306" i="4"/>
  <c r="B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E307" i="4"/>
  <c r="F307" i="4"/>
  <c r="G307" i="4"/>
  <c r="C307" i="4"/>
  <c r="D307" i="4"/>
  <c r="B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D308" i="4"/>
  <c r="C308" i="4"/>
  <c r="B308" i="4"/>
  <c r="F308" i="4"/>
  <c r="G308" i="4"/>
  <c r="E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B309" i="4"/>
  <c r="G309" i="4"/>
  <c r="F309" i="4"/>
  <c r="D309" i="4"/>
  <c r="E309" i="4"/>
  <c r="C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D310" i="4"/>
  <c r="G310" i="4"/>
  <c r="E310" i="4"/>
  <c r="B310" i="4"/>
  <c r="F310" i="4"/>
  <c r="C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G311" i="4"/>
  <c r="F311" i="4"/>
  <c r="B311" i="4"/>
  <c r="C311" i="4"/>
  <c r="E311" i="4"/>
  <c r="D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C312" i="4"/>
  <c r="G312" i="4"/>
  <c r="E312" i="4"/>
  <c r="B312" i="4"/>
  <c r="D312" i="4"/>
  <c r="F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G313" i="4"/>
  <c r="F313" i="4"/>
  <c r="D313" i="4"/>
  <c r="C313" i="4"/>
  <c r="B313" i="4"/>
  <c r="E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C314" i="4"/>
  <c r="B314" i="4"/>
  <c r="F314" i="4"/>
  <c r="E314" i="4"/>
  <c r="G314" i="4"/>
  <c r="D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B315" i="4"/>
  <c r="F315" i="4"/>
  <c r="E315" i="4"/>
  <c r="C315" i="4"/>
  <c r="G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G316" i="4"/>
  <c r="B316" i="4"/>
  <c r="C316" i="4"/>
  <c r="F316" i="4"/>
  <c r="D316" i="4"/>
  <c r="E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B317" i="4"/>
  <c r="G317" i="4"/>
  <c r="D317" i="4"/>
  <c r="C317" i="4"/>
  <c r="E317" i="4"/>
  <c r="F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G318" i="4"/>
  <c r="B318" i="4"/>
  <c r="E318" i="4"/>
  <c r="F318" i="4"/>
  <c r="D318" i="4"/>
  <c r="C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G319" i="4"/>
  <c r="B319" i="4"/>
  <c r="E319" i="4"/>
  <c r="F319" i="4"/>
  <c r="D319" i="4"/>
  <c r="C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C320" i="4"/>
  <c r="D320" i="4"/>
  <c r="B320" i="4"/>
  <c r="G320" i="4"/>
  <c r="F320" i="4"/>
  <c r="E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G321" i="4"/>
  <c r="F321" i="4"/>
  <c r="C321" i="4"/>
  <c r="D321" i="4"/>
  <c r="B321" i="4"/>
  <c r="E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E322" i="4"/>
  <c r="F322" i="4"/>
  <c r="B322" i="4"/>
  <c r="C322" i="4"/>
  <c r="D322" i="4"/>
  <c r="G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F323" i="4"/>
  <c r="C323" i="4"/>
  <c r="B323" i="4"/>
  <c r="E323" i="4"/>
  <c r="D323" i="4"/>
  <c r="G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D324" i="4"/>
  <c r="C324" i="4"/>
  <c r="F324" i="4"/>
  <c r="B324" i="4"/>
  <c r="G324" i="4"/>
  <c r="E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E325" i="4"/>
  <c r="B325" i="4"/>
  <c r="G325" i="4"/>
  <c r="F325" i="4"/>
  <c r="C325" i="4"/>
  <c r="D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D326" i="4"/>
  <c r="C326" i="4"/>
  <c r="B326" i="4"/>
  <c r="F326" i="4"/>
  <c r="G326" i="4"/>
  <c r="E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G327" i="4"/>
  <c r="E327" i="4"/>
  <c r="F327" i="4"/>
  <c r="D327" i="4"/>
  <c r="C327" i="4"/>
  <c r="B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D328" i="4"/>
  <c r="F328" i="4"/>
  <c r="E328" i="4"/>
  <c r="C328" i="4"/>
  <c r="G328" i="4"/>
  <c r="B328" i="4"/>
  <c r="B327" i="6" l="1"/>
  <c r="C327" i="6" s="1"/>
  <c r="D327" i="6" s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6" i="6"/>
  <c r="D326" i="6" s="1"/>
  <c r="I328" i="4"/>
  <c r="H328" i="4"/>
  <c r="A328" i="6"/>
  <c r="A329" i="8" s="1"/>
  <c r="E329" i="4"/>
  <c r="G329" i="4"/>
  <c r="D329" i="4"/>
  <c r="C329" i="4"/>
  <c r="B329" i="4"/>
  <c r="F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D330" i="4"/>
  <c r="G330" i="4"/>
  <c r="C330" i="4"/>
  <c r="E330" i="4"/>
  <c r="F330" i="4"/>
  <c r="B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E331" i="4"/>
  <c r="B331" i="4"/>
  <c r="D331" i="4"/>
  <c r="C331" i="4"/>
  <c r="F331" i="4"/>
  <c r="G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C332" i="4"/>
  <c r="E332" i="4"/>
  <c r="B332" i="4"/>
  <c r="D332" i="4"/>
  <c r="G332" i="4"/>
  <c r="F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G333" i="4"/>
  <c r="E333" i="4"/>
  <c r="F333" i="4"/>
  <c r="C333" i="4"/>
  <c r="B333" i="4"/>
  <c r="D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D334" i="4"/>
  <c r="G334" i="4"/>
  <c r="C334" i="4"/>
  <c r="E334" i="4"/>
  <c r="F334" i="4"/>
  <c r="B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C335" i="4"/>
  <c r="B335" i="4"/>
  <c r="G335" i="4"/>
  <c r="D335" i="4"/>
  <c r="E335" i="4"/>
  <c r="F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F336" i="4"/>
  <c r="G336" i="4"/>
  <c r="D336" i="4"/>
  <c r="C336" i="4"/>
  <c r="E336" i="4"/>
  <c r="B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C337" i="4"/>
  <c r="G337" i="4"/>
  <c r="B337" i="4"/>
  <c r="D337" i="4"/>
  <c r="E337" i="4"/>
  <c r="F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C338" i="4"/>
  <c r="E338" i="4"/>
  <c r="G338" i="4"/>
  <c r="F338" i="4"/>
  <c r="B338" i="4"/>
  <c r="D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C339" i="4"/>
  <c r="E339" i="4"/>
  <c r="D339" i="4"/>
  <c r="F339" i="4"/>
  <c r="G339" i="4"/>
  <c r="B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G340" i="4"/>
  <c r="E340" i="4"/>
  <c r="F340" i="4"/>
  <c r="D340" i="4"/>
  <c r="C340" i="4"/>
  <c r="B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F341" i="4"/>
  <c r="D341" i="4"/>
  <c r="B341" i="4"/>
  <c r="C341" i="4"/>
  <c r="E341" i="4"/>
  <c r="G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G342" i="4"/>
  <c r="E342" i="4"/>
  <c r="D342" i="4"/>
  <c r="C342" i="4"/>
  <c r="B342" i="4"/>
  <c r="F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F343" i="4"/>
  <c r="G343" i="4"/>
  <c r="C343" i="4"/>
  <c r="B343" i="4"/>
  <c r="E343" i="4"/>
  <c r="D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G344" i="4"/>
  <c r="F344" i="4"/>
  <c r="C344" i="4"/>
  <c r="B344" i="4"/>
  <c r="E344" i="4"/>
  <c r="D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E345" i="4"/>
  <c r="C345" i="4"/>
  <c r="B345" i="4"/>
  <c r="G345" i="4"/>
  <c r="F345" i="4"/>
  <c r="D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B346" i="4"/>
  <c r="F346" i="4"/>
  <c r="D346" i="4"/>
  <c r="E346" i="4"/>
  <c r="C346" i="4"/>
  <c r="G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B347" i="4"/>
  <c r="G347" i="4"/>
  <c r="E347" i="4"/>
  <c r="F347" i="4"/>
  <c r="C347" i="4"/>
  <c r="D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G348" i="4"/>
  <c r="B348" i="4"/>
  <c r="F348" i="4"/>
  <c r="E348" i="4"/>
  <c r="D348" i="4"/>
  <c r="C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G349" i="4"/>
  <c r="F349" i="4"/>
  <c r="E349" i="4"/>
  <c r="B349" i="4"/>
  <c r="C349" i="4"/>
  <c r="D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C350" i="4"/>
  <c r="G350" i="4"/>
  <c r="E350" i="4"/>
  <c r="F350" i="4"/>
  <c r="D350" i="4"/>
  <c r="B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E351" i="4"/>
  <c r="G351" i="4"/>
  <c r="F351" i="4"/>
  <c r="C351" i="4"/>
  <c r="B351" i="4"/>
  <c r="D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B352" i="4"/>
  <c r="G352" i="4"/>
  <c r="D352" i="4"/>
  <c r="C352" i="4"/>
  <c r="E352" i="4"/>
  <c r="F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D353" i="4"/>
  <c r="C353" i="4"/>
  <c r="F353" i="4"/>
  <c r="B353" i="4"/>
  <c r="E353" i="4"/>
  <c r="G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B354" i="4"/>
  <c r="F354" i="4"/>
  <c r="E354" i="4"/>
  <c r="D354" i="4"/>
  <c r="G354" i="4"/>
  <c r="C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F355" i="4"/>
  <c r="E355" i="4"/>
  <c r="B355" i="4"/>
  <c r="G355" i="4"/>
  <c r="C355" i="4"/>
  <c r="D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G356" i="4"/>
  <c r="C356" i="4"/>
  <c r="F356" i="4"/>
  <c r="B356" i="4"/>
  <c r="E356" i="4"/>
  <c r="D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B357" i="4"/>
  <c r="F357" i="4"/>
  <c r="E357" i="4"/>
  <c r="C357" i="4"/>
  <c r="G357" i="4"/>
  <c r="D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C358" i="4"/>
  <c r="G358" i="4"/>
  <c r="B358" i="4"/>
  <c r="E358" i="4"/>
  <c r="D358" i="4"/>
  <c r="F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D359" i="4"/>
  <c r="G359" i="4"/>
  <c r="B359" i="4"/>
  <c r="C359" i="4"/>
  <c r="E359" i="4"/>
  <c r="F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B360" i="4"/>
  <c r="D360" i="4"/>
  <c r="C360" i="4"/>
  <c r="G360" i="4"/>
  <c r="E360" i="4"/>
  <c r="F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D361" i="4"/>
  <c r="C361" i="4"/>
  <c r="E361" i="4"/>
  <c r="B361" i="4"/>
  <c r="G361" i="4"/>
  <c r="F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F362" i="4"/>
  <c r="B362" i="4"/>
  <c r="G362" i="4"/>
  <c r="E362" i="4"/>
  <c r="D362" i="4"/>
  <c r="C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F363" i="4"/>
  <c r="D363" i="4"/>
  <c r="G363" i="4"/>
  <c r="E363" i="4"/>
  <c r="C363" i="4"/>
  <c r="B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G364" i="4"/>
  <c r="B364" i="4"/>
  <c r="F364" i="4"/>
  <c r="E364" i="4"/>
  <c r="C364" i="4"/>
  <c r="D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G365" i="4"/>
  <c r="F365" i="4"/>
  <c r="B365" i="4"/>
  <c r="D365" i="4"/>
  <c r="E365" i="4"/>
  <c r="C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C366" i="4"/>
  <c r="F366" i="4"/>
  <c r="D366" i="4"/>
  <c r="E366" i="4"/>
  <c r="B366" i="4"/>
  <c r="G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D367" i="4"/>
  <c r="E367" i="4"/>
  <c r="F367" i="4"/>
  <c r="G367" i="4"/>
  <c r="C367" i="4"/>
  <c r="B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C368" i="4"/>
  <c r="F368" i="4"/>
  <c r="D368" i="4"/>
  <c r="E368" i="4"/>
  <c r="B368" i="4"/>
  <c r="G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G369" i="4"/>
  <c r="E369" i="4"/>
  <c r="F369" i="4"/>
  <c r="B369" i="4"/>
  <c r="C369" i="4"/>
  <c r="D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G370" i="4"/>
  <c r="B370" i="4"/>
  <c r="F370" i="4"/>
  <c r="E370" i="4"/>
  <c r="C370" i="4"/>
  <c r="D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C371" i="4"/>
  <c r="F371" i="4"/>
  <c r="B371" i="4"/>
  <c r="D371" i="4"/>
  <c r="E371" i="4"/>
  <c r="G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B372" i="4"/>
  <c r="G372" i="4"/>
  <c r="D372" i="4"/>
  <c r="E372" i="4"/>
  <c r="F372" i="4"/>
  <c r="C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D373" i="4"/>
  <c r="G373" i="4"/>
  <c r="B373" i="4"/>
  <c r="F373" i="4"/>
  <c r="E373" i="4"/>
  <c r="C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G374" i="4"/>
  <c r="F374" i="4"/>
  <c r="D374" i="4"/>
  <c r="C374" i="4"/>
  <c r="B374" i="4"/>
  <c r="E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H374" i="4"/>
  <c r="I374" i="4"/>
  <c r="A374" i="6"/>
  <c r="A375" i="8" s="1"/>
  <c r="C375" i="4"/>
  <c r="G375" i="4"/>
  <c r="D375" i="4"/>
  <c r="E375" i="4"/>
  <c r="B375" i="4"/>
  <c r="F375" i="4"/>
  <c r="D373" i="6" l="1"/>
  <c r="G373" i="6" s="1"/>
  <c r="L374" i="8" s="1"/>
  <c r="B374" i="6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H375" i="4"/>
  <c r="I375" i="4"/>
  <c r="A375" i="6"/>
  <c r="A376" i="8" s="1"/>
  <c r="F376" i="4"/>
  <c r="G376" i="4"/>
  <c r="E376" i="4"/>
  <c r="B376" i="4"/>
  <c r="D376" i="4"/>
  <c r="C376" i="4"/>
  <c r="E373" i="6" l="1"/>
  <c r="F373" i="6" s="1"/>
  <c r="D374" i="8" s="1"/>
  <c r="K374" i="8"/>
  <c r="H373" i="6"/>
  <c r="B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C377" i="4"/>
  <c r="D377" i="4"/>
  <c r="G377" i="4"/>
  <c r="F377" i="4"/>
  <c r="E377" i="4"/>
  <c r="B377" i="4"/>
  <c r="F374" i="8" l="1"/>
  <c r="E374" i="8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B378" i="4"/>
  <c r="D378" i="4"/>
  <c r="E378" i="4"/>
  <c r="F378" i="4"/>
  <c r="G378" i="4"/>
  <c r="C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B379" i="4"/>
  <c r="D379" i="4"/>
  <c r="E379" i="4"/>
  <c r="F379" i="4"/>
  <c r="G379" i="4"/>
  <c r="C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B380" i="4"/>
  <c r="D380" i="4"/>
  <c r="C380" i="4"/>
  <c r="F380" i="4"/>
  <c r="G380" i="4"/>
  <c r="E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F381" i="4"/>
  <c r="E381" i="4"/>
  <c r="G381" i="4"/>
  <c r="D381" i="4"/>
  <c r="C381" i="4"/>
  <c r="B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E382" i="4"/>
  <c r="C382" i="4"/>
  <c r="D382" i="4"/>
  <c r="F382" i="4"/>
  <c r="B382" i="4"/>
  <c r="G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C383" i="4"/>
  <c r="G383" i="4"/>
  <c r="D383" i="4"/>
  <c r="F383" i="4"/>
  <c r="E383" i="4"/>
  <c r="B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F384" i="4"/>
  <c r="D384" i="4"/>
  <c r="G384" i="4"/>
  <c r="C384" i="4"/>
  <c r="B384" i="4"/>
  <c r="E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C385" i="4"/>
  <c r="E385" i="4"/>
  <c r="F385" i="4"/>
  <c r="G385" i="4"/>
  <c r="B385" i="4"/>
  <c r="D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E386" i="4"/>
  <c r="F386" i="4"/>
  <c r="D386" i="4"/>
  <c r="G386" i="4"/>
  <c r="B386" i="4"/>
  <c r="C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G387" i="4"/>
  <c r="B387" i="4"/>
  <c r="F387" i="4"/>
  <c r="D387" i="4"/>
  <c r="E387" i="4"/>
  <c r="C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D388" i="4"/>
  <c r="F388" i="4"/>
  <c r="E388" i="4"/>
  <c r="B388" i="4"/>
  <c r="G388" i="4"/>
  <c r="C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G389" i="4"/>
  <c r="D389" i="4"/>
  <c r="C389" i="4"/>
  <c r="F389" i="4"/>
  <c r="E389" i="4"/>
  <c r="B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B390" i="4"/>
  <c r="F390" i="4"/>
  <c r="D390" i="4"/>
  <c r="E390" i="4"/>
  <c r="G390" i="4"/>
  <c r="C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E391" i="4"/>
  <c r="B391" i="4"/>
  <c r="C391" i="4"/>
  <c r="F391" i="4"/>
  <c r="G391" i="4"/>
  <c r="D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G392" i="4"/>
  <c r="E392" i="4"/>
  <c r="F392" i="4"/>
  <c r="D392" i="4"/>
  <c r="B392" i="4"/>
  <c r="C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G393" i="4"/>
  <c r="B393" i="4"/>
  <c r="E393" i="4"/>
  <c r="F393" i="4"/>
  <c r="C393" i="4"/>
  <c r="D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E394" i="4"/>
  <c r="D394" i="4"/>
  <c r="F394" i="4"/>
  <c r="G394" i="4"/>
  <c r="B394" i="4"/>
  <c r="C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D395" i="4"/>
  <c r="F395" i="4"/>
  <c r="G395" i="4"/>
  <c r="E395" i="4"/>
  <c r="B395" i="4"/>
  <c r="C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C396" i="4"/>
  <c r="F396" i="4"/>
  <c r="D396" i="4"/>
  <c r="E396" i="4"/>
  <c r="B396" i="4"/>
  <c r="G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F397" i="4"/>
  <c r="D397" i="4"/>
  <c r="C397" i="4"/>
  <c r="B397" i="4"/>
  <c r="E397" i="4"/>
  <c r="G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C398" i="4"/>
  <c r="E398" i="4"/>
  <c r="G398" i="4"/>
  <c r="F398" i="4"/>
  <c r="B398" i="4"/>
  <c r="D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B399" i="4"/>
  <c r="D399" i="4"/>
  <c r="E399" i="4"/>
  <c r="C399" i="4"/>
  <c r="F399" i="4"/>
  <c r="G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C400" i="4"/>
  <c r="D400" i="4"/>
  <c r="B400" i="4"/>
  <c r="G400" i="4"/>
  <c r="F400" i="4"/>
  <c r="E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C401" i="4"/>
  <c r="E401" i="4"/>
  <c r="G401" i="4"/>
  <c r="B401" i="4"/>
  <c r="D401" i="4"/>
  <c r="F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F402" i="4"/>
  <c r="G402" i="4"/>
  <c r="D402" i="4"/>
  <c r="C402" i="4"/>
  <c r="B402" i="4"/>
  <c r="E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E403" i="4"/>
  <c r="F403" i="4"/>
  <c r="B403" i="4"/>
  <c r="G403" i="4"/>
  <c r="D403" i="4"/>
  <c r="C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G404" i="4"/>
  <c r="C404" i="4"/>
  <c r="D404" i="4"/>
  <c r="B404" i="4"/>
  <c r="F404" i="4"/>
  <c r="E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B405" i="4"/>
  <c r="D405" i="4"/>
  <c r="C405" i="4"/>
  <c r="E405" i="4"/>
  <c r="F405" i="4"/>
  <c r="G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C406" i="4"/>
  <c r="F406" i="4"/>
  <c r="G406" i="4"/>
  <c r="D406" i="4"/>
  <c r="B406" i="4"/>
  <c r="E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F407" i="4"/>
  <c r="E407" i="4"/>
  <c r="D407" i="4"/>
  <c r="C407" i="4"/>
  <c r="B407" i="4"/>
  <c r="G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C408" i="4"/>
  <c r="E408" i="4"/>
  <c r="B408" i="4"/>
  <c r="F408" i="4"/>
  <c r="G408" i="4"/>
  <c r="D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D409" i="4"/>
  <c r="B409" i="4"/>
  <c r="C409" i="4"/>
  <c r="E409" i="4"/>
  <c r="G409" i="4"/>
  <c r="F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C410" i="4"/>
  <c r="E410" i="4"/>
  <c r="D410" i="4"/>
  <c r="G410" i="4"/>
  <c r="F410" i="4"/>
  <c r="B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F411" i="4"/>
  <c r="D411" i="4"/>
  <c r="C411" i="4"/>
  <c r="B411" i="4"/>
  <c r="G411" i="4"/>
  <c r="E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G412" i="4"/>
  <c r="B412" i="4"/>
  <c r="D412" i="4"/>
  <c r="F412" i="4"/>
  <c r="E412" i="4"/>
  <c r="C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D413" i="4"/>
  <c r="E413" i="4"/>
  <c r="G413" i="4"/>
  <c r="B413" i="4"/>
  <c r="C413" i="4"/>
  <c r="F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C414" i="4"/>
  <c r="E414" i="4"/>
  <c r="F414" i="4"/>
  <c r="D414" i="4"/>
  <c r="G414" i="4"/>
  <c r="B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F415" i="4"/>
  <c r="G415" i="4"/>
  <c r="D415" i="4"/>
  <c r="C415" i="4"/>
  <c r="B415" i="4"/>
  <c r="E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E416" i="4"/>
  <c r="F416" i="4"/>
  <c r="C416" i="4"/>
  <c r="G416" i="4"/>
  <c r="B416" i="4"/>
  <c r="D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D417" i="4"/>
  <c r="F417" i="4"/>
  <c r="G417" i="4"/>
  <c r="E417" i="4"/>
  <c r="C417" i="4"/>
  <c r="B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E418" i="4"/>
  <c r="D418" i="4"/>
  <c r="F418" i="4"/>
  <c r="G418" i="4"/>
  <c r="B418" i="4"/>
  <c r="C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G419" i="4"/>
  <c r="E419" i="4"/>
  <c r="B419" i="4"/>
  <c r="F419" i="4"/>
  <c r="C419" i="4"/>
  <c r="D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C420" i="4"/>
  <c r="D420" i="4"/>
  <c r="B420" i="4"/>
  <c r="G420" i="4"/>
  <c r="F420" i="4"/>
  <c r="E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G421" i="4"/>
  <c r="B421" i="4"/>
  <c r="F421" i="4"/>
  <c r="E421" i="4"/>
  <c r="D421" i="4"/>
  <c r="C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C422" i="4"/>
  <c r="F422" i="4"/>
  <c r="E422" i="4"/>
  <c r="B422" i="4"/>
  <c r="G422" i="4"/>
  <c r="D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C423" i="4"/>
  <c r="G423" i="4"/>
  <c r="E423" i="4"/>
  <c r="B423" i="4"/>
  <c r="D423" i="4"/>
  <c r="F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B424" i="4"/>
  <c r="F424" i="4"/>
  <c r="E424" i="4"/>
  <c r="C424" i="4"/>
  <c r="D424" i="4"/>
  <c r="G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G425" i="4"/>
  <c r="B425" i="4"/>
  <c r="D425" i="4"/>
  <c r="F425" i="4"/>
  <c r="C425" i="4"/>
  <c r="E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B426" i="4"/>
  <c r="G426" i="4"/>
  <c r="C426" i="4"/>
  <c r="E426" i="4"/>
  <c r="F426" i="4"/>
  <c r="D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F427" i="4"/>
  <c r="E427" i="4"/>
  <c r="B427" i="4"/>
  <c r="C427" i="4"/>
  <c r="G427" i="4"/>
  <c r="D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E428" i="4"/>
  <c r="B428" i="4"/>
  <c r="G428" i="4"/>
  <c r="C428" i="4"/>
  <c r="F428" i="4"/>
  <c r="D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C429" i="4"/>
  <c r="G429" i="4"/>
  <c r="E429" i="4"/>
  <c r="D429" i="4"/>
  <c r="B429" i="4"/>
  <c r="F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F430" i="4"/>
  <c r="E430" i="4"/>
  <c r="C430" i="4"/>
  <c r="D430" i="4"/>
  <c r="G430" i="4"/>
  <c r="B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F431" i="4"/>
  <c r="E431" i="4"/>
  <c r="C431" i="4"/>
  <c r="B431" i="4"/>
  <c r="G431" i="4"/>
  <c r="D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B432" i="4"/>
  <c r="D432" i="4"/>
  <c r="F432" i="4"/>
  <c r="G432" i="4"/>
  <c r="E432" i="4"/>
  <c r="C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F433" i="4"/>
  <c r="E433" i="4"/>
  <c r="B433" i="4"/>
  <c r="D433" i="4"/>
  <c r="C433" i="4"/>
  <c r="G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E434" i="4"/>
  <c r="F434" i="4"/>
  <c r="B434" i="4"/>
  <c r="C434" i="4"/>
  <c r="D434" i="4"/>
  <c r="G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D435" i="4"/>
  <c r="F435" i="4"/>
  <c r="E435" i="4"/>
  <c r="G435" i="4"/>
  <c r="B435" i="4"/>
  <c r="C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F436" i="4"/>
  <c r="C436" i="4"/>
  <c r="B436" i="4"/>
  <c r="D436" i="4"/>
  <c r="G436" i="4"/>
  <c r="E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C437" i="4"/>
  <c r="E437" i="4"/>
  <c r="B437" i="4"/>
  <c r="D437" i="4"/>
  <c r="G437" i="4"/>
  <c r="F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G438" i="4"/>
  <c r="E438" i="4"/>
  <c r="B438" i="4"/>
  <c r="F438" i="4"/>
  <c r="D438" i="4"/>
  <c r="C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F439" i="4"/>
  <c r="G439" i="4"/>
  <c r="C439" i="4"/>
  <c r="D439" i="4"/>
  <c r="B439" i="4"/>
  <c r="E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C440" i="4"/>
  <c r="D440" i="4"/>
  <c r="F440" i="4"/>
  <c r="G440" i="4"/>
  <c r="E440" i="4"/>
  <c r="B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B441" i="4"/>
  <c r="C441" i="4"/>
  <c r="E441" i="4"/>
  <c r="D441" i="4"/>
  <c r="G441" i="4"/>
  <c r="F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G442" i="4"/>
  <c r="C442" i="4"/>
  <c r="F442" i="4"/>
  <c r="E442" i="4"/>
  <c r="B442" i="4"/>
  <c r="D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E443" i="4"/>
  <c r="G443" i="4"/>
  <c r="D443" i="4"/>
  <c r="F443" i="4"/>
  <c r="C443" i="4"/>
  <c r="B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F444" i="4"/>
  <c r="E444" i="4"/>
  <c r="D444" i="4"/>
  <c r="C444" i="4"/>
  <c r="G444" i="4"/>
  <c r="B444" i="4"/>
  <c r="K442" i="8" l="1"/>
  <c r="E441" i="6"/>
  <c r="F441" i="6" s="1"/>
  <c r="D442" i="8" s="1"/>
  <c r="B443" i="6"/>
  <c r="C443" i="6" s="1"/>
  <c r="C442" i="6"/>
  <c r="D442" i="6" s="1"/>
  <c r="H441" i="6"/>
  <c r="B442" i="8" s="1"/>
  <c r="H440" i="6"/>
  <c r="B441" i="8" s="1"/>
  <c r="I444" i="4"/>
  <c r="H444" i="4"/>
  <c r="A444" i="6"/>
  <c r="A445" i="8" s="1"/>
  <c r="C445" i="4"/>
  <c r="B445" i="4"/>
  <c r="F445" i="4"/>
  <c r="G445" i="4"/>
  <c r="E445" i="4"/>
  <c r="D445" i="4"/>
  <c r="D443" i="6" l="1"/>
  <c r="G443" i="6" s="1"/>
  <c r="L444" i="8" s="1"/>
  <c r="K443" i="8"/>
  <c r="G442" i="6"/>
  <c r="L443" i="8" s="1"/>
  <c r="E442" i="6"/>
  <c r="F442" i="6" s="1"/>
  <c r="D443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G446" i="4"/>
  <c r="E446" i="4"/>
  <c r="F446" i="4"/>
  <c r="C446" i="4"/>
  <c r="D446" i="4"/>
  <c r="B446" i="4"/>
  <c r="E443" i="6" l="1"/>
  <c r="F443" i="6" s="1"/>
  <c r="D444" i="8" s="1"/>
  <c r="K444" i="8"/>
  <c r="H442" i="6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F447" i="4"/>
  <c r="D447" i="4"/>
  <c r="C447" i="4"/>
  <c r="B447" i="4"/>
  <c r="G447" i="4"/>
  <c r="E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C448" i="4"/>
  <c r="E448" i="4"/>
  <c r="G448" i="4"/>
  <c r="F448" i="4"/>
  <c r="D448" i="4"/>
  <c r="B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B449" i="4"/>
  <c r="E449" i="4"/>
  <c r="G449" i="4"/>
  <c r="C449" i="4"/>
  <c r="D449" i="4"/>
  <c r="F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E450" i="4"/>
  <c r="F450" i="4"/>
  <c r="B450" i="4"/>
  <c r="C450" i="4"/>
  <c r="G450" i="4"/>
  <c r="D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C451" i="4"/>
  <c r="B451" i="4"/>
  <c r="F451" i="4"/>
  <c r="G451" i="4"/>
  <c r="D451" i="4"/>
  <c r="E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G452" i="4"/>
  <c r="F452" i="4"/>
  <c r="E452" i="4"/>
  <c r="B452" i="4"/>
  <c r="D452" i="4"/>
  <c r="C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G453" i="4"/>
  <c r="D453" i="4"/>
  <c r="C453" i="4"/>
  <c r="F453" i="4"/>
  <c r="B453" i="4"/>
  <c r="E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F454" i="4"/>
  <c r="B454" i="4"/>
  <c r="G454" i="4"/>
  <c r="C454" i="4"/>
  <c r="E454" i="4"/>
  <c r="D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F455" i="4"/>
  <c r="D455" i="4"/>
  <c r="C455" i="4"/>
  <c r="E455" i="4"/>
  <c r="B455" i="4"/>
  <c r="G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D456" i="4"/>
  <c r="G456" i="4"/>
  <c r="B456" i="4"/>
  <c r="E456" i="4"/>
  <c r="F456" i="4"/>
  <c r="C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D457" i="4"/>
  <c r="F457" i="4"/>
  <c r="B457" i="4"/>
  <c r="C457" i="4"/>
  <c r="G457" i="4"/>
  <c r="E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F458" i="4"/>
  <c r="E458" i="4"/>
  <c r="D458" i="4"/>
  <c r="C458" i="4"/>
  <c r="B458" i="4"/>
  <c r="G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E459" i="4"/>
  <c r="F459" i="4"/>
  <c r="D459" i="4"/>
  <c r="G459" i="4"/>
  <c r="B459" i="4"/>
  <c r="C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G460" i="4"/>
  <c r="C460" i="4"/>
  <c r="E460" i="4"/>
  <c r="F460" i="4"/>
  <c r="B460" i="4"/>
  <c r="D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G461" i="4"/>
  <c r="C461" i="4"/>
  <c r="E461" i="4"/>
  <c r="F461" i="4"/>
  <c r="D461" i="4"/>
  <c r="B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C462" i="4"/>
  <c r="B462" i="4"/>
  <c r="F462" i="4"/>
  <c r="E462" i="4"/>
  <c r="D462" i="4"/>
  <c r="G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D463" i="4"/>
  <c r="C463" i="4"/>
  <c r="B463" i="4"/>
  <c r="F463" i="4"/>
  <c r="E463" i="4"/>
  <c r="G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C464" i="4"/>
  <c r="B464" i="4"/>
  <c r="E464" i="4"/>
  <c r="G464" i="4"/>
  <c r="F464" i="4"/>
  <c r="D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E465" i="4"/>
  <c r="C465" i="4"/>
  <c r="G465" i="4"/>
  <c r="D465" i="4"/>
  <c r="F465" i="4"/>
  <c r="B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D466" i="4"/>
  <c r="B466" i="4"/>
  <c r="F466" i="4"/>
  <c r="E466" i="4"/>
  <c r="C466" i="4"/>
  <c r="G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F467" i="4"/>
  <c r="B467" i="4"/>
  <c r="E467" i="4"/>
  <c r="D467" i="4"/>
  <c r="C467" i="4"/>
  <c r="G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B468" i="4"/>
  <c r="G468" i="4"/>
  <c r="C468" i="4"/>
  <c r="D468" i="4"/>
  <c r="E468" i="4"/>
  <c r="F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C469" i="4"/>
  <c r="E469" i="4"/>
  <c r="F469" i="4"/>
  <c r="G469" i="4"/>
  <c r="B469" i="4"/>
  <c r="D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B470" i="4"/>
  <c r="G470" i="4"/>
  <c r="D470" i="4"/>
  <c r="C470" i="4"/>
  <c r="F470" i="4"/>
  <c r="E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D471" i="4"/>
  <c r="F471" i="4"/>
  <c r="G471" i="4"/>
  <c r="C471" i="4"/>
  <c r="E471" i="4"/>
  <c r="B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F472" i="4"/>
  <c r="G472" i="4"/>
  <c r="E472" i="4"/>
  <c r="D472" i="4"/>
  <c r="C472" i="4"/>
  <c r="B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F473" i="4"/>
  <c r="D473" i="4"/>
  <c r="E473" i="4"/>
  <c r="C473" i="4"/>
  <c r="B473" i="4"/>
  <c r="G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E474" i="4"/>
  <c r="B474" i="4"/>
  <c r="C474" i="4"/>
  <c r="D474" i="4"/>
  <c r="F474" i="4"/>
  <c r="G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E475" i="4"/>
  <c r="G475" i="4"/>
  <c r="B475" i="4"/>
  <c r="D475" i="4"/>
  <c r="C475" i="4"/>
  <c r="F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D476" i="4"/>
  <c r="B476" i="4"/>
  <c r="E476" i="4"/>
  <c r="F476" i="4"/>
  <c r="C476" i="4"/>
  <c r="G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C477" i="4"/>
  <c r="F477" i="4"/>
  <c r="G477" i="4"/>
  <c r="E477" i="4"/>
  <c r="B477" i="4"/>
  <c r="D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F478" i="4"/>
  <c r="G478" i="4"/>
  <c r="E478" i="4"/>
  <c r="B478" i="4"/>
  <c r="D478" i="4"/>
  <c r="C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B479" i="4"/>
  <c r="C479" i="4"/>
  <c r="D479" i="4"/>
  <c r="E479" i="4"/>
  <c r="G479" i="4"/>
  <c r="F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G480" i="4"/>
  <c r="E480" i="4"/>
  <c r="F480" i="4"/>
  <c r="D480" i="4"/>
  <c r="B480" i="4"/>
  <c r="C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E481" i="4"/>
  <c r="F481" i="4"/>
  <c r="G481" i="4"/>
  <c r="C481" i="4"/>
  <c r="B481" i="4"/>
  <c r="D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C482" i="4"/>
  <c r="F482" i="4"/>
  <c r="E482" i="4"/>
  <c r="B482" i="4"/>
  <c r="D482" i="4"/>
  <c r="G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E483" i="4"/>
  <c r="B483" i="4"/>
  <c r="C483" i="4"/>
  <c r="G483" i="4"/>
  <c r="D483" i="4"/>
  <c r="F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C484" i="4"/>
  <c r="F484" i="4"/>
  <c r="E484" i="4"/>
  <c r="B484" i="4"/>
  <c r="D484" i="4"/>
  <c r="G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C485" i="4"/>
  <c r="E485" i="4"/>
  <c r="F485" i="4"/>
  <c r="G485" i="4"/>
  <c r="D485" i="4"/>
  <c r="B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D486" i="4"/>
  <c r="F486" i="4"/>
  <c r="B486" i="4"/>
  <c r="G486" i="4"/>
  <c r="E486" i="4"/>
  <c r="C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C487" i="4"/>
  <c r="G487" i="4"/>
  <c r="E487" i="4"/>
  <c r="F487" i="4"/>
  <c r="D487" i="4"/>
  <c r="B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B488" i="4"/>
  <c r="F488" i="4"/>
  <c r="E488" i="4"/>
  <c r="D488" i="4"/>
  <c r="C488" i="4"/>
  <c r="G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B489" i="4"/>
  <c r="E489" i="4"/>
  <c r="C489" i="4"/>
  <c r="F489" i="4"/>
  <c r="D489" i="4"/>
  <c r="G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D490" i="4"/>
  <c r="C490" i="4"/>
  <c r="E490" i="4"/>
  <c r="B490" i="4"/>
  <c r="G490" i="4"/>
  <c r="F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D491" i="4"/>
  <c r="E491" i="4"/>
  <c r="F491" i="4"/>
  <c r="B491" i="4"/>
  <c r="G491" i="4"/>
  <c r="C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F492" i="4"/>
  <c r="B492" i="4"/>
  <c r="D492" i="4"/>
  <c r="G492" i="4"/>
  <c r="E492" i="4"/>
  <c r="C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G493" i="4"/>
  <c r="B493" i="4"/>
  <c r="E493" i="4"/>
  <c r="D493" i="4"/>
  <c r="F493" i="4"/>
  <c r="C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G494" i="4"/>
  <c r="F494" i="4"/>
  <c r="D494" i="4"/>
  <c r="C494" i="4"/>
  <c r="B494" i="4"/>
  <c r="E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C495" i="4"/>
  <c r="E495" i="4"/>
  <c r="F495" i="4"/>
  <c r="B495" i="4"/>
  <c r="G495" i="4"/>
  <c r="D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D496" i="4"/>
  <c r="G496" i="4"/>
  <c r="C496" i="4"/>
  <c r="F496" i="4"/>
  <c r="B496" i="4"/>
  <c r="E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C497" i="4"/>
  <c r="F497" i="4"/>
  <c r="G497" i="4"/>
  <c r="D497" i="4"/>
  <c r="B497" i="4"/>
  <c r="E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D498" i="4"/>
  <c r="E498" i="4"/>
  <c r="G498" i="4"/>
  <c r="C498" i="4"/>
  <c r="B498" i="4"/>
  <c r="F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C499" i="4"/>
  <c r="G499" i="4"/>
  <c r="E499" i="4"/>
  <c r="D499" i="4"/>
  <c r="B499" i="4"/>
  <c r="F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B500" i="4"/>
  <c r="G500" i="4"/>
  <c r="D500" i="4"/>
  <c r="C500" i="4"/>
  <c r="F500" i="4"/>
  <c r="E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F501" i="4"/>
  <c r="B501" i="4"/>
  <c r="E501" i="4"/>
  <c r="C501" i="4"/>
  <c r="D501" i="4"/>
  <c r="G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D502" i="4"/>
  <c r="E502" i="4"/>
  <c r="F502" i="4"/>
  <c r="C502" i="4"/>
  <c r="B502" i="4"/>
  <c r="G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C503" i="4"/>
  <c r="B503" i="4"/>
  <c r="D503" i="4"/>
  <c r="G503" i="4"/>
  <c r="E503" i="4"/>
  <c r="F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E504" i="4"/>
  <c r="G504" i="4"/>
  <c r="B504" i="4"/>
  <c r="D504" i="4"/>
  <c r="F504" i="4"/>
  <c r="C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D505" i="4"/>
  <c r="G505" i="4"/>
  <c r="E505" i="4"/>
  <c r="B505" i="4"/>
  <c r="C505" i="4"/>
  <c r="F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B506" i="4"/>
  <c r="D506" i="4"/>
  <c r="F506" i="4"/>
  <c r="C506" i="4"/>
  <c r="G506" i="4"/>
  <c r="E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F507" i="4"/>
  <c r="C507" i="4"/>
  <c r="B507" i="4"/>
  <c r="E507" i="4"/>
  <c r="G507" i="4"/>
  <c r="D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E508" i="4"/>
  <c r="F508" i="4"/>
  <c r="C508" i="4"/>
  <c r="D508" i="4"/>
  <c r="G508" i="4"/>
  <c r="B508" i="4"/>
  <c r="F505" i="8" l="1"/>
  <c r="C506" i="6"/>
  <c r="D506" i="6" s="1"/>
  <c r="H505" i="6"/>
  <c r="B506" i="8" s="1"/>
  <c r="B507" i="6"/>
  <c r="H508" i="4"/>
  <c r="I508" i="4"/>
  <c r="A508" i="6"/>
  <c r="A509" i="8" s="1"/>
  <c r="G509" i="4"/>
  <c r="E509" i="4"/>
  <c r="C509" i="4"/>
  <c r="D509" i="4"/>
  <c r="F509" i="4"/>
  <c r="B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C510" i="4"/>
  <c r="G510" i="4"/>
  <c r="F510" i="4"/>
  <c r="E510" i="4"/>
  <c r="D510" i="4"/>
  <c r="B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D511" i="4"/>
  <c r="F511" i="4"/>
  <c r="B511" i="4"/>
  <c r="E511" i="4"/>
  <c r="G511" i="4"/>
  <c r="C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G512" i="4"/>
  <c r="D512" i="4"/>
  <c r="C512" i="4"/>
  <c r="E512" i="4"/>
  <c r="B512" i="4"/>
  <c r="F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B513" i="4"/>
  <c r="C513" i="4"/>
  <c r="G513" i="4"/>
  <c r="E513" i="4"/>
  <c r="D513" i="4"/>
  <c r="F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F514" i="4"/>
  <c r="C514" i="4"/>
  <c r="B514" i="4"/>
  <c r="E514" i="4"/>
  <c r="D514" i="4"/>
  <c r="G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F515" i="4"/>
  <c r="E515" i="4"/>
  <c r="G515" i="4"/>
  <c r="C515" i="4"/>
  <c r="B515" i="4"/>
  <c r="D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G516" i="4"/>
  <c r="D516" i="4"/>
  <c r="E516" i="4"/>
  <c r="F516" i="4"/>
  <c r="B516" i="4"/>
  <c r="C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E517" i="4"/>
  <c r="G517" i="4"/>
  <c r="B517" i="4"/>
  <c r="C517" i="4"/>
  <c r="F517" i="4"/>
  <c r="D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D518" i="4"/>
  <c r="G518" i="4"/>
  <c r="E518" i="4"/>
  <c r="F518" i="4"/>
  <c r="B518" i="4"/>
  <c r="C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B519" i="4"/>
  <c r="E519" i="4"/>
  <c r="G519" i="4"/>
  <c r="C519" i="4"/>
  <c r="D519" i="4"/>
  <c r="F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B520" i="4"/>
  <c r="F520" i="4"/>
  <c r="D520" i="4"/>
  <c r="G520" i="4"/>
  <c r="E520" i="4"/>
  <c r="C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G521" i="4"/>
  <c r="D521" i="4"/>
  <c r="B521" i="4"/>
  <c r="C521" i="4"/>
  <c r="F521" i="4"/>
  <c r="E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G522" i="4"/>
  <c r="C522" i="4"/>
  <c r="F522" i="4"/>
  <c r="D522" i="4"/>
  <c r="E522" i="4"/>
  <c r="B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D523" i="4"/>
  <c r="B523" i="4"/>
  <c r="G523" i="4"/>
  <c r="C523" i="4"/>
  <c r="F523" i="4"/>
  <c r="E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C524" i="4"/>
  <c r="E524" i="4"/>
  <c r="D524" i="4"/>
  <c r="G524" i="4"/>
  <c r="B524" i="4"/>
  <c r="F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B525" i="4"/>
  <c r="E525" i="4"/>
  <c r="G525" i="4"/>
  <c r="D525" i="4"/>
  <c r="C525" i="4"/>
  <c r="F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B526" i="4"/>
  <c r="D526" i="4"/>
  <c r="G526" i="4"/>
  <c r="F526" i="4"/>
  <c r="E526" i="4"/>
  <c r="C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B527" i="4"/>
  <c r="F527" i="4"/>
  <c r="C527" i="4"/>
  <c r="D527" i="4"/>
  <c r="E527" i="4"/>
  <c r="G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G528" i="4"/>
  <c r="B528" i="4"/>
  <c r="C528" i="4"/>
  <c r="E528" i="4"/>
  <c r="D528" i="4"/>
  <c r="F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F529" i="4"/>
  <c r="G529" i="4"/>
  <c r="D529" i="4"/>
  <c r="B529" i="4"/>
  <c r="E529" i="4"/>
  <c r="C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D530" i="4"/>
  <c r="F530" i="4"/>
  <c r="C530" i="4"/>
  <c r="G530" i="4"/>
  <c r="E530" i="4"/>
  <c r="B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B531" i="4"/>
  <c r="C531" i="4"/>
  <c r="G531" i="4"/>
  <c r="D531" i="4"/>
  <c r="E531" i="4"/>
  <c r="F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E532" i="4"/>
  <c r="B532" i="4"/>
  <c r="G532" i="4"/>
  <c r="F532" i="4"/>
  <c r="C532" i="4"/>
  <c r="D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E533" i="4"/>
  <c r="F533" i="4"/>
  <c r="B533" i="4"/>
  <c r="G533" i="4"/>
  <c r="C533" i="4"/>
  <c r="D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B534" i="4"/>
  <c r="E534" i="4"/>
  <c r="C534" i="4"/>
  <c r="D534" i="4"/>
  <c r="F534" i="4"/>
  <c r="G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G535" i="4"/>
  <c r="F535" i="4"/>
  <c r="D535" i="4"/>
  <c r="B535" i="4"/>
  <c r="E535" i="4"/>
  <c r="C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G536" i="4"/>
  <c r="F536" i="4"/>
  <c r="C536" i="4"/>
  <c r="D536" i="4"/>
  <c r="B536" i="4"/>
  <c r="E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D537" i="4"/>
  <c r="B537" i="4"/>
  <c r="C537" i="4"/>
  <c r="E537" i="4"/>
  <c r="F537" i="4"/>
  <c r="G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C538" i="4"/>
  <c r="G538" i="4"/>
  <c r="F538" i="4"/>
  <c r="B538" i="4"/>
  <c r="D538" i="4"/>
  <c r="E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E539" i="4"/>
  <c r="C539" i="4"/>
  <c r="F539" i="4"/>
  <c r="B539" i="4"/>
  <c r="G539" i="4"/>
  <c r="D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E540" i="4"/>
  <c r="G540" i="4"/>
  <c r="F540" i="4"/>
  <c r="B540" i="4"/>
  <c r="D540" i="4"/>
  <c r="C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G541" i="4"/>
  <c r="F541" i="4"/>
  <c r="E541" i="4"/>
  <c r="D541" i="4"/>
  <c r="B541" i="4"/>
  <c r="C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G542" i="4"/>
  <c r="D542" i="4"/>
  <c r="E542" i="4"/>
  <c r="F542" i="4"/>
  <c r="C542" i="4"/>
  <c r="B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B543" i="4"/>
  <c r="F543" i="4"/>
  <c r="C543" i="4"/>
  <c r="D543" i="4"/>
  <c r="G543" i="4"/>
  <c r="E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C544" i="4"/>
  <c r="E544" i="4"/>
  <c r="F544" i="4"/>
  <c r="G544" i="4"/>
  <c r="D544" i="4"/>
  <c r="B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G545" i="4"/>
  <c r="F545" i="4"/>
  <c r="E545" i="4"/>
  <c r="C545" i="4"/>
  <c r="B545" i="4"/>
  <c r="D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G546" i="4"/>
  <c r="D546" i="4"/>
  <c r="C546" i="4"/>
  <c r="B546" i="4"/>
  <c r="F546" i="4"/>
  <c r="E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D547" i="4"/>
  <c r="B547" i="4"/>
  <c r="E547" i="4"/>
  <c r="F547" i="4"/>
  <c r="G547" i="4"/>
  <c r="C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E548" i="4"/>
  <c r="G548" i="4"/>
  <c r="D548" i="4"/>
  <c r="F548" i="4"/>
  <c r="C548" i="4"/>
  <c r="B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E549" i="4"/>
  <c r="F549" i="4"/>
  <c r="D549" i="4"/>
  <c r="B549" i="4"/>
  <c r="G549" i="4"/>
  <c r="C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C550" i="4"/>
  <c r="D550" i="4"/>
  <c r="E550" i="4"/>
  <c r="F550" i="4"/>
  <c r="G550" i="4"/>
  <c r="B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E551" i="4"/>
  <c r="D551" i="4"/>
  <c r="B551" i="4"/>
  <c r="F551" i="4"/>
  <c r="C551" i="4"/>
  <c r="G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C552" i="4"/>
  <c r="D552" i="4"/>
  <c r="F552" i="4"/>
  <c r="B552" i="4"/>
  <c r="E552" i="4"/>
  <c r="G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G553" i="4"/>
  <c r="B553" i="4"/>
  <c r="E553" i="4"/>
  <c r="D553" i="4"/>
  <c r="C553" i="4"/>
  <c r="F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C554" i="4"/>
  <c r="B554" i="4"/>
  <c r="G554" i="4"/>
  <c r="D554" i="4"/>
  <c r="F554" i="4"/>
  <c r="E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F555" i="4"/>
  <c r="E555" i="4"/>
  <c r="D555" i="4"/>
  <c r="G555" i="4"/>
  <c r="C555" i="4"/>
  <c r="B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F556" i="4"/>
  <c r="E556" i="4"/>
  <c r="D556" i="4"/>
  <c r="G556" i="4"/>
  <c r="B556" i="4"/>
  <c r="C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E557" i="4"/>
  <c r="G557" i="4"/>
  <c r="B557" i="4"/>
  <c r="C557" i="4"/>
  <c r="D557" i="4"/>
  <c r="F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G558" i="4"/>
  <c r="D558" i="4"/>
  <c r="E558" i="4"/>
  <c r="B558" i="4"/>
  <c r="C558" i="4"/>
  <c r="F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D559" i="4"/>
  <c r="E559" i="4"/>
  <c r="B559" i="4"/>
  <c r="C559" i="4"/>
  <c r="G559" i="4"/>
  <c r="F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F560" i="4"/>
  <c r="D560" i="4"/>
  <c r="C560" i="4"/>
  <c r="G560" i="4"/>
  <c r="B560" i="4"/>
  <c r="E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C561" i="4"/>
  <c r="G561" i="4"/>
  <c r="F561" i="4"/>
  <c r="B561" i="4"/>
  <c r="E561" i="4"/>
  <c r="D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B562" i="4"/>
  <c r="E562" i="4"/>
  <c r="C562" i="4"/>
  <c r="D562" i="4"/>
  <c r="F562" i="4"/>
  <c r="G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B563" i="4"/>
  <c r="E563" i="4"/>
  <c r="D563" i="4"/>
  <c r="C563" i="4"/>
  <c r="F563" i="4"/>
  <c r="G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G564" i="4"/>
  <c r="D564" i="4"/>
  <c r="B564" i="4"/>
  <c r="F564" i="4"/>
  <c r="C564" i="4"/>
  <c r="E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F565" i="4"/>
  <c r="E565" i="4"/>
  <c r="B565" i="4"/>
  <c r="G565" i="4"/>
  <c r="C565" i="4"/>
  <c r="D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D566" i="4"/>
  <c r="C566" i="4"/>
  <c r="E566" i="4"/>
  <c r="B566" i="4"/>
  <c r="G566" i="4"/>
  <c r="F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G567" i="4"/>
  <c r="F567" i="4"/>
  <c r="E567" i="4"/>
  <c r="C567" i="4"/>
  <c r="D567" i="4"/>
  <c r="B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F568" i="4"/>
  <c r="G568" i="4"/>
  <c r="B568" i="4"/>
  <c r="D568" i="4"/>
  <c r="E568" i="4"/>
  <c r="C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D569" i="4"/>
  <c r="G569" i="4"/>
  <c r="F569" i="4"/>
  <c r="C569" i="4"/>
  <c r="B569" i="4"/>
  <c r="E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C570" i="4"/>
  <c r="D570" i="4"/>
  <c r="F570" i="4"/>
  <c r="G570" i="4"/>
  <c r="B570" i="4"/>
  <c r="E570" i="4"/>
  <c r="D568" i="6" l="1"/>
  <c r="K569" i="8" s="1"/>
  <c r="F566" i="8"/>
  <c r="B569" i="6"/>
  <c r="C569" i="6" s="1"/>
  <c r="H566" i="6"/>
  <c r="B567" i="8" s="1"/>
  <c r="E567" i="8" s="1"/>
  <c r="G567" i="8" s="1"/>
  <c r="H567" i="6"/>
  <c r="B568" i="8" s="1"/>
  <c r="I570" i="4"/>
  <c r="H570" i="4"/>
  <c r="A570" i="6"/>
  <c r="A571" i="8" s="1"/>
  <c r="E571" i="4"/>
  <c r="D571" i="4"/>
  <c r="G571" i="4"/>
  <c r="C571" i="4"/>
  <c r="F571" i="4"/>
  <c r="B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F572" i="4"/>
  <c r="C572" i="4"/>
  <c r="D572" i="4"/>
  <c r="E572" i="4"/>
  <c r="B572" i="4"/>
  <c r="G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C573" i="4"/>
  <c r="B573" i="4"/>
  <c r="E573" i="4"/>
  <c r="G573" i="4"/>
  <c r="D573" i="4"/>
  <c r="F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B574" i="4"/>
  <c r="D574" i="4"/>
  <c r="C574" i="4"/>
  <c r="G574" i="4"/>
  <c r="E574" i="4"/>
  <c r="F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F575" i="4"/>
  <c r="B575" i="4"/>
  <c r="G575" i="4"/>
  <c r="C575" i="4"/>
  <c r="D575" i="4"/>
  <c r="E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F576" i="4"/>
  <c r="D576" i="4"/>
  <c r="B576" i="4"/>
  <c r="E576" i="4"/>
  <c r="C576" i="4"/>
  <c r="G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C577" i="4"/>
  <c r="F577" i="4"/>
  <c r="D577" i="4"/>
  <c r="G577" i="4"/>
  <c r="B577" i="4"/>
  <c r="E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G578" i="4"/>
  <c r="C578" i="4"/>
  <c r="D578" i="4"/>
  <c r="B578" i="4"/>
  <c r="F578" i="4"/>
  <c r="E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G579" i="4"/>
  <c r="C579" i="4"/>
  <c r="F579" i="4"/>
  <c r="D579" i="4"/>
  <c r="B579" i="4"/>
  <c r="E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F580" i="4"/>
  <c r="E580" i="4"/>
  <c r="B580" i="4"/>
  <c r="D580" i="4"/>
  <c r="G580" i="4"/>
  <c r="C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B581" i="4"/>
  <c r="D581" i="4"/>
  <c r="C581" i="4"/>
  <c r="G581" i="4"/>
  <c r="E581" i="4"/>
  <c r="F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C582" i="4"/>
  <c r="D582" i="4"/>
  <c r="F582" i="4"/>
  <c r="G582" i="4"/>
  <c r="B582" i="4"/>
  <c r="E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B583" i="4"/>
  <c r="C583" i="4"/>
  <c r="F583" i="4"/>
  <c r="E583" i="4"/>
  <c r="D583" i="4"/>
  <c r="G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G584" i="4"/>
  <c r="F584" i="4"/>
  <c r="C584" i="4"/>
  <c r="D584" i="4"/>
  <c r="B584" i="4"/>
  <c r="E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D585" i="4"/>
  <c r="E585" i="4"/>
  <c r="B585" i="4"/>
  <c r="C585" i="4"/>
  <c r="G585" i="4"/>
  <c r="F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D586" i="4"/>
  <c r="B586" i="4"/>
  <c r="E586" i="4"/>
  <c r="C586" i="4"/>
  <c r="G586" i="4"/>
  <c r="F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F587" i="4"/>
  <c r="B587" i="4"/>
  <c r="D587" i="4"/>
  <c r="G587" i="4"/>
  <c r="E587" i="4"/>
  <c r="C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G588" i="4"/>
  <c r="B588" i="4"/>
  <c r="E588" i="4"/>
  <c r="D588" i="4"/>
  <c r="F588" i="4"/>
  <c r="C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F589" i="4"/>
  <c r="D589" i="4"/>
  <c r="C589" i="4"/>
  <c r="B589" i="4"/>
  <c r="E589" i="4"/>
  <c r="G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D590" i="4"/>
  <c r="E590" i="4"/>
  <c r="C590" i="4"/>
  <c r="B590" i="4"/>
  <c r="G590" i="4"/>
  <c r="F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C591" i="4"/>
  <c r="D591" i="4"/>
  <c r="G591" i="4"/>
  <c r="F591" i="4"/>
  <c r="B591" i="4"/>
  <c r="E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G592" i="4"/>
  <c r="F592" i="4"/>
  <c r="D592" i="4"/>
  <c r="B592" i="4"/>
  <c r="C592" i="4"/>
  <c r="E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E593" i="4"/>
  <c r="G593" i="4"/>
  <c r="F593" i="4"/>
  <c r="C593" i="4"/>
  <c r="B593" i="4"/>
  <c r="D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E594" i="4"/>
  <c r="D594" i="4"/>
  <c r="C594" i="4"/>
  <c r="G594" i="4"/>
  <c r="B594" i="4"/>
  <c r="F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E595" i="4"/>
  <c r="F595" i="4"/>
  <c r="C595" i="4"/>
  <c r="B595" i="4"/>
  <c r="D595" i="4"/>
  <c r="G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B596" i="4"/>
  <c r="E596" i="4"/>
  <c r="D596" i="4"/>
  <c r="C596" i="4"/>
  <c r="F596" i="4"/>
  <c r="G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E597" i="4"/>
  <c r="F597" i="4"/>
  <c r="C597" i="4"/>
  <c r="D597" i="4"/>
  <c r="G597" i="4"/>
  <c r="B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G598" i="4"/>
  <c r="E598" i="4"/>
  <c r="B598" i="4"/>
  <c r="C598" i="4"/>
  <c r="D598" i="4"/>
  <c r="F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D599" i="4"/>
  <c r="C599" i="4"/>
  <c r="B599" i="4"/>
  <c r="F599" i="4"/>
  <c r="G599" i="4"/>
  <c r="E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D600" i="4"/>
  <c r="E600" i="4"/>
  <c r="C600" i="4"/>
  <c r="B600" i="4"/>
  <c r="F600" i="4"/>
  <c r="G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C601" i="4"/>
  <c r="F601" i="4"/>
  <c r="B601" i="4"/>
  <c r="E601" i="4"/>
  <c r="G601" i="4"/>
  <c r="D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B602" i="4"/>
  <c r="D602" i="4"/>
  <c r="E602" i="4"/>
  <c r="F602" i="4"/>
  <c r="G602" i="4"/>
  <c r="C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B603" i="4"/>
  <c r="C603" i="4"/>
  <c r="D603" i="4"/>
  <c r="F603" i="4"/>
  <c r="E603" i="4"/>
  <c r="G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B604" i="4"/>
  <c r="C604" i="4"/>
  <c r="D604" i="4"/>
  <c r="F604" i="4"/>
  <c r="G604" i="4"/>
  <c r="E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G605" i="4"/>
  <c r="B605" i="4"/>
  <c r="E605" i="4"/>
  <c r="D605" i="4"/>
  <c r="F605" i="4"/>
  <c r="C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D606" i="4"/>
  <c r="G606" i="4"/>
  <c r="E606" i="4"/>
  <c r="C606" i="4"/>
  <c r="B606" i="4"/>
  <c r="F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F607" i="4"/>
  <c r="B607" i="4"/>
  <c r="D607" i="4"/>
  <c r="E607" i="4"/>
  <c r="G607" i="4"/>
  <c r="C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B608" i="4"/>
  <c r="F608" i="4"/>
  <c r="C608" i="4"/>
  <c r="E608" i="4"/>
  <c r="G608" i="4"/>
  <c r="D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F609" i="4"/>
  <c r="B609" i="4"/>
  <c r="C609" i="4"/>
  <c r="E609" i="4"/>
  <c r="D609" i="4"/>
  <c r="G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B610" i="4"/>
  <c r="D610" i="4"/>
  <c r="C610" i="4"/>
  <c r="F610" i="4"/>
  <c r="G610" i="4"/>
  <c r="E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F611" i="4"/>
  <c r="B611" i="4"/>
  <c r="E611" i="4"/>
  <c r="G611" i="4"/>
  <c r="C611" i="4"/>
  <c r="D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G612" i="4"/>
  <c r="D612" i="4"/>
  <c r="B612" i="4"/>
  <c r="C612" i="4"/>
  <c r="E612" i="4"/>
  <c r="F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D613" i="4"/>
  <c r="C613" i="4"/>
  <c r="G613" i="4"/>
  <c r="F613" i="4"/>
  <c r="B613" i="4"/>
  <c r="E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F614" i="4"/>
  <c r="C614" i="4"/>
  <c r="B614" i="4"/>
  <c r="E614" i="4"/>
  <c r="G614" i="4"/>
  <c r="D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F615" i="4"/>
  <c r="E615" i="4"/>
  <c r="B615" i="4"/>
  <c r="D615" i="4"/>
  <c r="G615" i="4"/>
  <c r="C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D616" i="4"/>
  <c r="E616" i="4"/>
  <c r="C616" i="4"/>
  <c r="B616" i="4"/>
  <c r="F616" i="4"/>
  <c r="G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C617" i="4"/>
  <c r="B617" i="4"/>
  <c r="F617" i="4"/>
  <c r="G617" i="4"/>
  <c r="D617" i="4"/>
  <c r="E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F618" i="4"/>
  <c r="E618" i="4"/>
  <c r="C618" i="4"/>
  <c r="B618" i="4"/>
  <c r="G618" i="4"/>
  <c r="D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D619" i="4"/>
  <c r="F619" i="4"/>
  <c r="B619" i="4"/>
  <c r="E619" i="4"/>
  <c r="C619" i="4"/>
  <c r="G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B620" i="4"/>
  <c r="C620" i="4"/>
  <c r="E620" i="4"/>
  <c r="D620" i="4"/>
  <c r="F620" i="4"/>
  <c r="G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E621" i="4"/>
  <c r="F621" i="4"/>
  <c r="D621" i="4"/>
  <c r="B621" i="4"/>
  <c r="C621" i="4"/>
  <c r="G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E622" i="4"/>
  <c r="F622" i="4"/>
  <c r="B622" i="4"/>
  <c r="C622" i="4"/>
  <c r="D622" i="4"/>
  <c r="G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G623" i="4"/>
  <c r="C623" i="4"/>
  <c r="D623" i="4"/>
  <c r="B623" i="4"/>
  <c r="F623" i="4"/>
  <c r="E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B624" i="4"/>
  <c r="E624" i="4"/>
  <c r="D624" i="4"/>
  <c r="G624" i="4"/>
  <c r="C624" i="4"/>
  <c r="F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C625" i="4"/>
  <c r="B625" i="4"/>
  <c r="D625" i="4"/>
  <c r="E625" i="4"/>
  <c r="F625" i="4"/>
  <c r="G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E626" i="4"/>
  <c r="C626" i="4"/>
  <c r="F626" i="4"/>
  <c r="B626" i="4"/>
  <c r="D626" i="4"/>
  <c r="G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C627" i="4"/>
  <c r="D627" i="4"/>
  <c r="G627" i="4"/>
  <c r="B627" i="4"/>
  <c r="F627" i="4"/>
  <c r="E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B628" i="4"/>
  <c r="F628" i="4"/>
  <c r="E628" i="4"/>
  <c r="C628" i="4"/>
  <c r="G628" i="4"/>
  <c r="D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B629" i="4"/>
  <c r="D629" i="4"/>
  <c r="G629" i="4"/>
  <c r="E629" i="4"/>
  <c r="C629" i="4"/>
  <c r="F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F630" i="4"/>
  <c r="B630" i="4"/>
  <c r="C630" i="4"/>
  <c r="D630" i="4"/>
  <c r="E630" i="4"/>
  <c r="G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D631" i="4"/>
  <c r="F631" i="4"/>
  <c r="E631" i="4"/>
  <c r="G631" i="4"/>
  <c r="B631" i="4"/>
  <c r="C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F632" i="4"/>
  <c r="B632" i="4"/>
  <c r="C632" i="4"/>
  <c r="D632" i="4"/>
  <c r="G632" i="4"/>
  <c r="E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D633" i="4"/>
  <c r="F633" i="4"/>
  <c r="B633" i="4"/>
  <c r="C633" i="4"/>
  <c r="G633" i="4"/>
  <c r="E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D634" i="4"/>
  <c r="B634" i="4"/>
  <c r="F634" i="4"/>
  <c r="G634" i="4"/>
  <c r="C634" i="4"/>
  <c r="E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D635" i="4"/>
  <c r="E635" i="4"/>
  <c r="G635" i="4"/>
  <c r="F635" i="4"/>
  <c r="C635" i="4"/>
  <c r="B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C636" i="4"/>
  <c r="E636" i="4"/>
  <c r="G636" i="4"/>
  <c r="B636" i="4"/>
  <c r="D636" i="4"/>
  <c r="F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G637" i="4"/>
  <c r="E637" i="4"/>
  <c r="C637" i="4"/>
  <c r="D637" i="4"/>
  <c r="B637" i="4"/>
  <c r="F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D638" i="4"/>
  <c r="E638" i="4"/>
  <c r="C638" i="4"/>
  <c r="B638" i="4"/>
  <c r="G638" i="4"/>
  <c r="F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F639" i="4"/>
  <c r="C639" i="4"/>
  <c r="B639" i="4"/>
  <c r="D639" i="4"/>
  <c r="E639" i="4"/>
  <c r="G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C640" i="4"/>
  <c r="G640" i="4"/>
  <c r="B640" i="4"/>
  <c r="F640" i="4"/>
  <c r="D640" i="4"/>
  <c r="E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G641" i="4"/>
  <c r="C641" i="4"/>
  <c r="B641" i="4"/>
  <c r="E641" i="4"/>
  <c r="D641" i="4"/>
  <c r="F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C642" i="4"/>
  <c r="D642" i="4"/>
  <c r="E642" i="4"/>
  <c r="B642" i="4"/>
  <c r="F642" i="4"/>
  <c r="G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E643" i="4"/>
  <c r="B643" i="4"/>
  <c r="F643" i="4"/>
  <c r="G643" i="4"/>
  <c r="D643" i="4"/>
  <c r="C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E644" i="4"/>
  <c r="C644" i="4"/>
  <c r="F644" i="4"/>
  <c r="D644" i="4"/>
  <c r="B644" i="4"/>
  <c r="G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G645" i="4"/>
  <c r="E645" i="4"/>
  <c r="B645" i="4"/>
  <c r="D645" i="4"/>
  <c r="C645" i="4"/>
  <c r="F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G646" i="4"/>
  <c r="C646" i="4"/>
  <c r="D646" i="4"/>
  <c r="F646" i="4"/>
  <c r="B646" i="4"/>
  <c r="E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G647" i="4"/>
  <c r="E647" i="4"/>
  <c r="C647" i="4"/>
  <c r="F647" i="4"/>
  <c r="D647" i="4"/>
  <c r="B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F648" i="4"/>
  <c r="E648" i="4"/>
  <c r="D648" i="4"/>
  <c r="B648" i="4"/>
  <c r="C648" i="4"/>
  <c r="G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E649" i="4"/>
  <c r="G649" i="4"/>
  <c r="C649" i="4"/>
  <c r="B649" i="4"/>
  <c r="F649" i="4"/>
  <c r="D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E650" i="4"/>
  <c r="F650" i="4"/>
  <c r="C650" i="4"/>
  <c r="B650" i="4"/>
  <c r="G650" i="4"/>
  <c r="D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F651" i="4"/>
  <c r="D651" i="4"/>
  <c r="E651" i="4"/>
  <c r="B651" i="4"/>
  <c r="G651" i="4"/>
  <c r="C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D652" i="4"/>
  <c r="G652" i="4"/>
  <c r="E652" i="4"/>
  <c r="F652" i="4"/>
  <c r="C652" i="4"/>
  <c r="B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D653" i="4"/>
  <c r="F653" i="4"/>
  <c r="G653" i="4"/>
  <c r="C653" i="4"/>
  <c r="B653" i="4"/>
  <c r="E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G654" i="4"/>
  <c r="F654" i="4"/>
  <c r="B654" i="4"/>
  <c r="D654" i="4"/>
  <c r="C654" i="4"/>
  <c r="E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C655" i="4"/>
  <c r="B655" i="4"/>
  <c r="F655" i="4"/>
  <c r="E655" i="4"/>
  <c r="D655" i="4"/>
  <c r="G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D656" i="4"/>
  <c r="C656" i="4"/>
  <c r="G656" i="4"/>
  <c r="B656" i="4"/>
  <c r="F656" i="4"/>
  <c r="E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D657" i="4"/>
  <c r="B657" i="4"/>
  <c r="G657" i="4"/>
  <c r="E657" i="4"/>
  <c r="F657" i="4"/>
  <c r="C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D658" i="4"/>
  <c r="E658" i="4"/>
  <c r="B658" i="4"/>
  <c r="F658" i="4"/>
  <c r="C658" i="4"/>
  <c r="G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E659" i="4"/>
  <c r="D659" i="4"/>
  <c r="B659" i="4"/>
  <c r="C659" i="4"/>
  <c r="F659" i="4"/>
  <c r="G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D660" i="4"/>
  <c r="B660" i="4"/>
  <c r="F660" i="4"/>
  <c r="C660" i="4"/>
  <c r="E660" i="4"/>
  <c r="G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B661" i="4"/>
  <c r="G661" i="4"/>
  <c r="D661" i="4"/>
  <c r="F661" i="4"/>
  <c r="C661" i="4"/>
  <c r="E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G662" i="4"/>
  <c r="D662" i="4"/>
  <c r="C662" i="4"/>
  <c r="E662" i="4"/>
  <c r="B662" i="4"/>
  <c r="F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B663" i="4"/>
  <c r="G663" i="4"/>
  <c r="C663" i="4"/>
  <c r="D663" i="4"/>
  <c r="E663" i="4"/>
  <c r="F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G664" i="4"/>
  <c r="E664" i="4"/>
  <c r="D664" i="4"/>
  <c r="C664" i="4"/>
  <c r="B664" i="4"/>
  <c r="F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F665" i="4"/>
  <c r="C665" i="4"/>
  <c r="E665" i="4"/>
  <c r="B665" i="4"/>
  <c r="D665" i="4"/>
  <c r="G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F666" i="4"/>
  <c r="G666" i="4"/>
  <c r="D666" i="4"/>
  <c r="E666" i="4"/>
  <c r="B666" i="4"/>
  <c r="C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D667" i="4"/>
  <c r="C667" i="4"/>
  <c r="G667" i="4"/>
  <c r="E667" i="4"/>
  <c r="F667" i="4"/>
  <c r="B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B668" i="4"/>
  <c r="C668" i="4"/>
  <c r="F668" i="4"/>
  <c r="G668" i="4"/>
  <c r="E668" i="4"/>
  <c r="D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B669" i="4"/>
  <c r="G669" i="4"/>
  <c r="D669" i="4"/>
  <c r="C669" i="4"/>
  <c r="E669" i="4"/>
  <c r="F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D670" i="4"/>
  <c r="B670" i="4"/>
  <c r="G670" i="4"/>
  <c r="E670" i="4"/>
  <c r="F670" i="4"/>
  <c r="C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E671" i="4"/>
  <c r="F671" i="4"/>
  <c r="D671" i="4"/>
  <c r="G671" i="4"/>
  <c r="C671" i="4"/>
  <c r="B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G672" i="4"/>
  <c r="B672" i="4"/>
  <c r="F672" i="4"/>
  <c r="D672" i="4"/>
  <c r="E672" i="4"/>
  <c r="C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D673" i="4"/>
  <c r="E673" i="4"/>
  <c r="C673" i="4"/>
  <c r="G673" i="4"/>
  <c r="B673" i="4"/>
  <c r="F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C674" i="4"/>
  <c r="G674" i="4"/>
  <c r="F674" i="4"/>
  <c r="B674" i="4"/>
  <c r="D674" i="4"/>
  <c r="E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G675" i="4"/>
  <c r="D675" i="4"/>
  <c r="F675" i="4"/>
  <c r="C675" i="4"/>
  <c r="B675" i="4"/>
  <c r="E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B676" i="4"/>
  <c r="D676" i="4"/>
  <c r="G676" i="4"/>
  <c r="E676" i="4"/>
  <c r="F676" i="4"/>
  <c r="C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D677" i="4"/>
  <c r="C677" i="4"/>
  <c r="F677" i="4"/>
  <c r="E677" i="4"/>
  <c r="B677" i="4"/>
  <c r="G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F678" i="4"/>
  <c r="B678" i="4"/>
  <c r="G678" i="4"/>
  <c r="D678" i="4"/>
  <c r="E678" i="4"/>
  <c r="C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G679" i="4"/>
  <c r="F679" i="4"/>
  <c r="D679" i="4"/>
  <c r="C679" i="4"/>
  <c r="E679" i="4"/>
  <c r="B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D680" i="4"/>
  <c r="G680" i="4"/>
  <c r="C680" i="4"/>
  <c r="F680" i="4"/>
  <c r="E680" i="4"/>
  <c r="B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E681" i="4"/>
  <c r="F681" i="4"/>
  <c r="G681" i="4"/>
  <c r="C681" i="4"/>
  <c r="D681" i="4"/>
  <c r="B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B682" i="4"/>
  <c r="F682" i="4"/>
  <c r="E682" i="4"/>
  <c r="G682" i="4"/>
  <c r="D682" i="4"/>
  <c r="C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G683" i="4"/>
  <c r="B683" i="4"/>
  <c r="E683" i="4"/>
  <c r="F683" i="4"/>
  <c r="D683" i="4"/>
  <c r="C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B684" i="4"/>
  <c r="D684" i="4"/>
  <c r="C684" i="4"/>
  <c r="F684" i="4"/>
  <c r="E684" i="4"/>
  <c r="G684" i="4"/>
  <c r="D682" i="6" l="1"/>
  <c r="G682" i="6" s="1"/>
  <c r="L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B685" i="4"/>
  <c r="G685" i="4"/>
  <c r="F685" i="4"/>
  <c r="C685" i="4"/>
  <c r="D685" i="4"/>
  <c r="E685" i="4"/>
  <c r="E682" i="6" l="1"/>
  <c r="F682" i="6" s="1"/>
  <c r="D683" i="8" s="1"/>
  <c r="K683" i="8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E686" i="4"/>
  <c r="G686" i="4"/>
  <c r="D686" i="4"/>
  <c r="B686" i="4"/>
  <c r="C686" i="4"/>
  <c r="F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D687" i="4"/>
  <c r="C687" i="4"/>
  <c r="F687" i="4"/>
  <c r="E687" i="4"/>
  <c r="B687" i="4"/>
  <c r="G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C688" i="4"/>
  <c r="D688" i="4"/>
  <c r="F688" i="4"/>
  <c r="E688" i="4"/>
  <c r="G688" i="4"/>
  <c r="B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D689" i="4"/>
  <c r="F689" i="4"/>
  <c r="E689" i="4"/>
  <c r="B689" i="4"/>
  <c r="C689" i="4"/>
  <c r="G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E690" i="4"/>
  <c r="B690" i="4"/>
  <c r="F690" i="4"/>
  <c r="C690" i="4"/>
  <c r="G690" i="4"/>
  <c r="D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F691" i="4"/>
  <c r="E691" i="4"/>
  <c r="C691" i="4"/>
  <c r="D691" i="4"/>
  <c r="B691" i="4"/>
  <c r="G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D692" i="4"/>
  <c r="E692" i="4"/>
  <c r="G692" i="4"/>
  <c r="C692" i="4"/>
  <c r="F692" i="4"/>
  <c r="B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I692" i="4"/>
  <c r="H692" i="4"/>
  <c r="A692" i="6"/>
  <c r="A693" i="8" s="1"/>
  <c r="E693" i="4"/>
  <c r="D693" i="4"/>
  <c r="C693" i="4"/>
  <c r="B693" i="4"/>
  <c r="G693" i="4"/>
  <c r="F693" i="4"/>
  <c r="H689" i="6" l="1"/>
  <c r="B690" i="8" s="1"/>
  <c r="F690" i="8" s="1"/>
  <c r="E690" i="6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I693" i="4"/>
  <c r="H693" i="4"/>
  <c r="A693" i="6"/>
  <c r="A694" i="8" s="1"/>
  <c r="B692" i="6"/>
  <c r="G694" i="4"/>
  <c r="E694" i="4"/>
  <c r="D694" i="4"/>
  <c r="B694" i="4"/>
  <c r="F694" i="4"/>
  <c r="C694" i="4"/>
  <c r="E690" i="8" l="1"/>
  <c r="G690" i="8" s="1"/>
  <c r="H690" i="6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E695" i="4"/>
  <c r="G695" i="4"/>
  <c r="B695" i="4"/>
  <c r="F695" i="4"/>
  <c r="C695" i="4"/>
  <c r="D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F696" i="4"/>
  <c r="G696" i="4"/>
  <c r="C696" i="4"/>
  <c r="E696" i="4"/>
  <c r="D696" i="4"/>
  <c r="B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C697" i="4"/>
  <c r="B697" i="4"/>
  <c r="F697" i="4"/>
  <c r="G697" i="4"/>
  <c r="E697" i="4"/>
  <c r="D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E698" i="4"/>
  <c r="B698" i="4"/>
  <c r="D698" i="4"/>
  <c r="F698" i="4"/>
  <c r="C698" i="4"/>
  <c r="G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E699" i="4"/>
  <c r="D699" i="4"/>
  <c r="C699" i="4"/>
  <c r="G699" i="4"/>
  <c r="F699" i="4"/>
  <c r="B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G700" i="4"/>
  <c r="F700" i="4"/>
  <c r="C700" i="4"/>
  <c r="E700" i="4"/>
  <c r="B700" i="4"/>
  <c r="D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E701" i="4"/>
  <c r="C701" i="4"/>
  <c r="F701" i="4"/>
  <c r="G701" i="4"/>
  <c r="B701" i="4"/>
  <c r="D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D702" i="4"/>
  <c r="E702" i="4"/>
  <c r="B702" i="4"/>
  <c r="C702" i="4"/>
  <c r="G702" i="4"/>
  <c r="F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C703" i="4"/>
  <c r="B703" i="4"/>
  <c r="D703" i="4"/>
  <c r="E703" i="4"/>
  <c r="G703" i="4"/>
  <c r="F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C704" i="4"/>
  <c r="F704" i="4"/>
  <c r="G704" i="4"/>
  <c r="D704" i="4"/>
  <c r="B704" i="4"/>
  <c r="E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G705" i="4"/>
  <c r="F705" i="4"/>
  <c r="B705" i="4"/>
  <c r="D705" i="4"/>
  <c r="C705" i="4"/>
  <c r="E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C706" i="4"/>
  <c r="E706" i="4"/>
  <c r="D706" i="4"/>
  <c r="F706" i="4"/>
  <c r="B706" i="4"/>
  <c r="G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G707" i="4"/>
  <c r="C707" i="4"/>
  <c r="B707" i="4"/>
  <c r="D707" i="4"/>
  <c r="E707" i="4"/>
  <c r="F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G708" i="4"/>
  <c r="F708" i="4"/>
  <c r="B708" i="4"/>
  <c r="C708" i="4"/>
  <c r="E708" i="4"/>
  <c r="D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G709" i="4"/>
  <c r="E709" i="4"/>
  <c r="B709" i="4"/>
  <c r="F709" i="4"/>
  <c r="C709" i="4"/>
  <c r="D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E710" i="4"/>
  <c r="C710" i="4"/>
  <c r="F710" i="4"/>
  <c r="G710" i="4"/>
  <c r="B710" i="4"/>
  <c r="D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D711" i="4"/>
  <c r="C711" i="4"/>
  <c r="B711" i="4"/>
  <c r="E711" i="4"/>
  <c r="G711" i="4"/>
  <c r="F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D712" i="4"/>
  <c r="B712" i="4"/>
  <c r="C712" i="4"/>
  <c r="F712" i="4"/>
  <c r="G712" i="4"/>
  <c r="E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F713" i="4"/>
  <c r="E713" i="4"/>
  <c r="G713" i="4"/>
  <c r="C713" i="4"/>
  <c r="B713" i="4"/>
  <c r="D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E714" i="4"/>
  <c r="C714" i="4"/>
  <c r="G714" i="4"/>
  <c r="F714" i="4"/>
  <c r="D714" i="4"/>
  <c r="B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E715" i="4"/>
  <c r="B715" i="4"/>
  <c r="F715" i="4"/>
  <c r="G715" i="4"/>
  <c r="C715" i="4"/>
  <c r="D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B716" i="4"/>
  <c r="D716" i="4"/>
  <c r="E716" i="4"/>
  <c r="G716" i="4"/>
  <c r="C716" i="4"/>
  <c r="F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C717" i="4"/>
  <c r="E717" i="4"/>
  <c r="B717" i="4"/>
  <c r="F717" i="4"/>
  <c r="D717" i="4"/>
  <c r="G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C718" i="4"/>
  <c r="B718" i="4"/>
  <c r="G718" i="4"/>
  <c r="F718" i="4"/>
  <c r="E718" i="4"/>
  <c r="D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E719" i="4"/>
  <c r="D719" i="4"/>
  <c r="C719" i="4"/>
  <c r="F719" i="4"/>
  <c r="G719" i="4"/>
  <c r="B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E720" i="4"/>
  <c r="G720" i="4"/>
  <c r="D720" i="4"/>
  <c r="F720" i="4"/>
  <c r="C720" i="4"/>
  <c r="B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G721" i="4"/>
  <c r="B721" i="4"/>
  <c r="D721" i="4"/>
  <c r="C721" i="4"/>
  <c r="E721" i="4"/>
  <c r="F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F722" i="4"/>
  <c r="E722" i="4"/>
  <c r="B722" i="4"/>
  <c r="G722" i="4"/>
  <c r="C722" i="4"/>
  <c r="D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E723" i="4"/>
  <c r="B723" i="4"/>
  <c r="D723" i="4"/>
  <c r="C723" i="4"/>
  <c r="G723" i="4"/>
  <c r="F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E724" i="4"/>
  <c r="C724" i="4"/>
  <c r="B724" i="4"/>
  <c r="G724" i="4"/>
  <c r="D724" i="4"/>
  <c r="F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B725" i="4"/>
  <c r="C725" i="4"/>
  <c r="G725" i="4"/>
  <c r="F725" i="4"/>
  <c r="D725" i="4"/>
  <c r="E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F726" i="4"/>
  <c r="E726" i="4"/>
  <c r="B726" i="4"/>
  <c r="C726" i="4"/>
  <c r="G726" i="4"/>
  <c r="D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D727" i="4"/>
  <c r="E727" i="4"/>
  <c r="F727" i="4"/>
  <c r="B727" i="4"/>
  <c r="G727" i="4"/>
  <c r="C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G728" i="4"/>
  <c r="D728" i="4"/>
  <c r="C728" i="4"/>
  <c r="E728" i="4"/>
  <c r="F728" i="4"/>
  <c r="B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B729" i="4"/>
  <c r="F729" i="4"/>
  <c r="G729" i="4"/>
  <c r="D729" i="4"/>
  <c r="E729" i="4"/>
  <c r="C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G730" i="4"/>
  <c r="D730" i="4"/>
  <c r="C730" i="4"/>
  <c r="F730" i="4"/>
  <c r="E730" i="4"/>
  <c r="B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D731" i="4"/>
  <c r="G731" i="4"/>
  <c r="E731" i="4"/>
  <c r="F731" i="4"/>
  <c r="C731" i="4"/>
  <c r="B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D732" i="4"/>
  <c r="B732" i="4"/>
  <c r="F732" i="4"/>
  <c r="G732" i="4"/>
  <c r="E732" i="4"/>
  <c r="C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F733" i="4"/>
  <c r="C733" i="4"/>
  <c r="E733" i="4"/>
  <c r="D733" i="4"/>
  <c r="B733" i="4"/>
  <c r="G733" i="4"/>
  <c r="H729" i="6" l="1"/>
  <c r="B730" i="8" s="1"/>
  <c r="F730" i="8" s="1"/>
  <c r="D731" i="6"/>
  <c r="K732" i="8" s="1"/>
  <c r="H730" i="6"/>
  <c r="B731" i="8" s="1"/>
  <c r="H733" i="4"/>
  <c r="I733" i="4"/>
  <c r="A733" i="6"/>
  <c r="A734" i="8" s="1"/>
  <c r="B732" i="6"/>
  <c r="B734" i="4"/>
  <c r="C734" i="4"/>
  <c r="F734" i="4"/>
  <c r="D734" i="4"/>
  <c r="E734" i="4"/>
  <c r="G734" i="4"/>
  <c r="E731" i="6" l="1"/>
  <c r="F731" i="6" s="1"/>
  <c r="D732" i="8" s="1"/>
  <c r="E730" i="8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B735" i="4"/>
  <c r="D735" i="4"/>
  <c r="F735" i="4"/>
  <c r="C735" i="4"/>
  <c r="G735" i="4"/>
  <c r="E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C736" i="4"/>
  <c r="F736" i="4"/>
  <c r="B736" i="4"/>
  <c r="D736" i="4"/>
  <c r="E736" i="4"/>
  <c r="G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D737" i="4"/>
  <c r="E737" i="4"/>
  <c r="F737" i="4"/>
  <c r="B737" i="4"/>
  <c r="G737" i="4"/>
  <c r="C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B738" i="4"/>
  <c r="F738" i="4"/>
  <c r="C738" i="4"/>
  <c r="E738" i="4"/>
  <c r="D738" i="4"/>
  <c r="G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G739" i="4"/>
  <c r="B739" i="4"/>
  <c r="D739" i="4"/>
  <c r="C739" i="4"/>
  <c r="E739" i="4"/>
  <c r="F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C740" i="4"/>
  <c r="F740" i="4"/>
  <c r="G740" i="4"/>
  <c r="D740" i="4"/>
  <c r="B740" i="4"/>
  <c r="E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B741" i="4"/>
  <c r="E741" i="4"/>
  <c r="D741" i="4"/>
  <c r="F741" i="4"/>
  <c r="C741" i="4"/>
  <c r="G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G742" i="4"/>
  <c r="D742" i="4"/>
  <c r="B742" i="4"/>
  <c r="F742" i="4"/>
  <c r="C742" i="4"/>
  <c r="E742" i="4"/>
  <c r="E739" i="6" l="1"/>
  <c r="F739" i="6" s="1"/>
  <c r="D740" i="8" s="1"/>
  <c r="K740" i="8"/>
  <c r="B741" i="6"/>
  <c r="C741" i="6" s="1"/>
  <c r="H739" i="6"/>
  <c r="B740" i="8" s="1"/>
  <c r="H738" i="6"/>
  <c r="B739" i="8" s="1"/>
  <c r="F739" i="8" s="1"/>
  <c r="F738" i="8"/>
  <c r="E738" i="8"/>
  <c r="G738" i="8" s="1"/>
  <c r="C740" i="6"/>
  <c r="D740" i="6" s="1"/>
  <c r="H742" i="4"/>
  <c r="I742" i="4"/>
  <c r="A742" i="6"/>
  <c r="A743" i="8" s="1"/>
  <c r="G743" i="4"/>
  <c r="F743" i="4"/>
  <c r="D743" i="4"/>
  <c r="C743" i="4"/>
  <c r="B743" i="4"/>
  <c r="E743" i="4"/>
  <c r="D741" i="6" l="1"/>
  <c r="K742" i="8" s="1"/>
  <c r="E740" i="8"/>
  <c r="G740" i="8" s="1"/>
  <c r="E739" i="8"/>
  <c r="G739" i="8" s="1"/>
  <c r="F740" i="8"/>
  <c r="B742" i="6"/>
  <c r="K741" i="8"/>
  <c r="G740" i="6"/>
  <c r="L741" i="8" s="1"/>
  <c r="E740" i="6"/>
  <c r="F740" i="6" s="1"/>
  <c r="D741" i="8" s="1"/>
  <c r="H743" i="4"/>
  <c r="I743" i="4"/>
  <c r="A743" i="6"/>
  <c r="A744" i="8" s="1"/>
  <c r="B744" i="4"/>
  <c r="G744" i="4"/>
  <c r="C744" i="4"/>
  <c r="F744" i="4"/>
  <c r="E744" i="4"/>
  <c r="D744" i="4"/>
  <c r="E741" i="6" l="1"/>
  <c r="F741" i="6" s="1"/>
  <c r="D742" i="8" s="1"/>
  <c r="G741" i="6"/>
  <c r="L742" i="8" s="1"/>
  <c r="B743" i="6"/>
  <c r="C743" i="6" s="1"/>
  <c r="H740" i="6"/>
  <c r="B741" i="8" s="1"/>
  <c r="F741" i="8" s="1"/>
  <c r="C742" i="6"/>
  <c r="D742" i="6" s="1"/>
  <c r="I744" i="4"/>
  <c r="H744" i="4"/>
  <c r="A744" i="6"/>
  <c r="A745" i="8" s="1"/>
  <c r="C745" i="4"/>
  <c r="F745" i="4"/>
  <c r="G745" i="4"/>
  <c r="B745" i="4"/>
  <c r="D745" i="4"/>
  <c r="E745" i="4"/>
  <c r="H741" i="6" l="1"/>
  <c r="B742" i="8" s="1"/>
  <c r="E742" i="8" s="1"/>
  <c r="G742" i="8" s="1"/>
  <c r="D743" i="6"/>
  <c r="K744" i="8" s="1"/>
  <c r="E741" i="8"/>
  <c r="G741" i="8" s="1"/>
  <c r="K743" i="8"/>
  <c r="G742" i="6"/>
  <c r="L743" i="8" s="1"/>
  <c r="E742" i="6"/>
  <c r="F742" i="6" s="1"/>
  <c r="D743" i="8" s="1"/>
  <c r="B744" i="6"/>
  <c r="I745" i="4"/>
  <c r="H745" i="4"/>
  <c r="A745" i="6"/>
  <c r="A746" i="8" s="1"/>
  <c r="F746" i="4"/>
  <c r="G746" i="4"/>
  <c r="C746" i="4"/>
  <c r="B746" i="4"/>
  <c r="E746" i="4"/>
  <c r="D746" i="4"/>
  <c r="F742" i="8" l="1"/>
  <c r="G743" i="6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D747" i="4"/>
  <c r="E747" i="4"/>
  <c r="F747" i="4"/>
  <c r="G747" i="4"/>
  <c r="C747" i="4"/>
  <c r="B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D748" i="4"/>
  <c r="E748" i="4"/>
  <c r="F748" i="4"/>
  <c r="B748" i="4"/>
  <c r="C748" i="4"/>
  <c r="G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G749" i="4"/>
  <c r="F749" i="4"/>
  <c r="C749" i="4"/>
  <c r="E749" i="4"/>
  <c r="D749" i="4"/>
  <c r="B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G750" i="4"/>
  <c r="B750" i="4"/>
  <c r="C750" i="4"/>
  <c r="E750" i="4"/>
  <c r="D750" i="4"/>
  <c r="F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C751" i="4"/>
  <c r="D751" i="4"/>
  <c r="B751" i="4"/>
  <c r="G751" i="4"/>
  <c r="E751" i="4"/>
  <c r="F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D752" i="4"/>
  <c r="G752" i="4"/>
  <c r="B752" i="4"/>
  <c r="F752" i="4"/>
  <c r="C752" i="4"/>
  <c r="E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C753" i="4"/>
  <c r="D753" i="4"/>
  <c r="F753" i="4"/>
  <c r="G753" i="4"/>
  <c r="E753" i="4"/>
  <c r="B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C754" i="4"/>
  <c r="G754" i="4"/>
  <c r="E754" i="4"/>
  <c r="B754" i="4"/>
  <c r="D754" i="4"/>
  <c r="F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E755" i="4"/>
  <c r="G755" i="4"/>
  <c r="C755" i="4"/>
  <c r="B755" i="4"/>
  <c r="D755" i="4"/>
  <c r="F755" i="4"/>
  <c r="B754" i="6" l="1"/>
  <c r="C754" i="6" s="1"/>
  <c r="D754" i="6" s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H755" i="4"/>
  <c r="I755" i="4"/>
  <c r="A755" i="6"/>
  <c r="A756" i="8" s="1"/>
  <c r="G756" i="4"/>
  <c r="E756" i="4"/>
  <c r="F756" i="4"/>
  <c r="C756" i="4"/>
  <c r="B756" i="4"/>
  <c r="D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G757" i="4"/>
  <c r="F757" i="4"/>
  <c r="B757" i="4"/>
  <c r="D757" i="4"/>
  <c r="C757" i="4"/>
  <c r="E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C758" i="4"/>
  <c r="G758" i="4"/>
  <c r="D758" i="4"/>
  <c r="B758" i="4"/>
  <c r="F758" i="4"/>
  <c r="E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E759" i="4"/>
  <c r="C759" i="4"/>
  <c r="B759" i="4"/>
  <c r="D759" i="4"/>
  <c r="F759" i="4"/>
  <c r="G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G760" i="4"/>
  <c r="B760" i="4"/>
  <c r="C760" i="4"/>
  <c r="F760" i="4"/>
  <c r="E760" i="4"/>
  <c r="D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C761" i="4"/>
  <c r="E761" i="4"/>
  <c r="G761" i="4"/>
  <c r="F761" i="4"/>
  <c r="B761" i="4"/>
  <c r="D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B762" i="4"/>
  <c r="D762" i="4"/>
  <c r="C762" i="4"/>
  <c r="F762" i="4"/>
  <c r="G762" i="4"/>
  <c r="E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G763" i="4"/>
  <c r="B763" i="4"/>
  <c r="F763" i="4"/>
  <c r="E763" i="4"/>
  <c r="C763" i="4"/>
  <c r="D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E764" i="4"/>
  <c r="F764" i="4"/>
  <c r="D764" i="4"/>
  <c r="B764" i="4"/>
  <c r="C764" i="4"/>
  <c r="G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E765" i="4"/>
  <c r="D765" i="4"/>
  <c r="F765" i="4"/>
  <c r="C765" i="4"/>
  <c r="G765" i="4"/>
  <c r="B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D766" i="4"/>
  <c r="E766" i="4"/>
  <c r="B766" i="4"/>
  <c r="F766" i="4"/>
  <c r="C766" i="4"/>
  <c r="G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E767" i="4"/>
  <c r="D767" i="4"/>
  <c r="C767" i="4"/>
  <c r="F767" i="4"/>
  <c r="G767" i="4"/>
  <c r="B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E768" i="4"/>
  <c r="B768" i="4"/>
  <c r="C768" i="4"/>
  <c r="D768" i="4"/>
  <c r="F768" i="4"/>
  <c r="G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G769" i="4"/>
  <c r="E769" i="4"/>
  <c r="B769" i="4"/>
  <c r="D769" i="4"/>
  <c r="F769" i="4"/>
  <c r="C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B770" i="4"/>
  <c r="F770" i="4"/>
  <c r="G770" i="4"/>
  <c r="C770" i="4"/>
  <c r="D770" i="4"/>
  <c r="E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C771" i="4"/>
  <c r="E771" i="4"/>
  <c r="F771" i="4"/>
  <c r="G771" i="4"/>
  <c r="B771" i="4"/>
  <c r="D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E772" i="4"/>
  <c r="D772" i="4"/>
  <c r="G772" i="4"/>
  <c r="C772" i="4"/>
  <c r="B772" i="4"/>
  <c r="F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E773" i="4"/>
  <c r="G773" i="4"/>
  <c r="F773" i="4"/>
  <c r="B773" i="4"/>
  <c r="D773" i="4"/>
  <c r="C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E774" i="4"/>
  <c r="F774" i="4"/>
  <c r="G774" i="4"/>
  <c r="D774" i="4"/>
  <c r="C774" i="4"/>
  <c r="B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D775" i="4"/>
  <c r="C775" i="4"/>
  <c r="G775" i="4"/>
  <c r="E775" i="4"/>
  <c r="B775" i="4"/>
  <c r="F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E776" i="4"/>
  <c r="G776" i="4"/>
  <c r="D776" i="4"/>
  <c r="B776" i="4"/>
  <c r="F776" i="4"/>
  <c r="C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B777" i="4"/>
  <c r="E777" i="4"/>
  <c r="D777" i="4"/>
  <c r="F777" i="4"/>
  <c r="C777" i="4"/>
  <c r="G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B778" i="4"/>
  <c r="F778" i="4"/>
  <c r="C778" i="4"/>
  <c r="E778" i="4"/>
  <c r="G778" i="4"/>
  <c r="D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E779" i="4"/>
  <c r="G779" i="4"/>
  <c r="C779" i="4"/>
  <c r="D779" i="4"/>
  <c r="F779" i="4"/>
  <c r="B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F780" i="4"/>
  <c r="B780" i="4"/>
  <c r="D780" i="4"/>
  <c r="C780" i="4"/>
  <c r="G780" i="4"/>
  <c r="E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E781" i="4"/>
  <c r="F781" i="4"/>
  <c r="G781" i="4"/>
  <c r="C781" i="4"/>
  <c r="B781" i="4"/>
  <c r="D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D782" i="4"/>
  <c r="C782" i="4"/>
  <c r="F782" i="4"/>
  <c r="E782" i="4"/>
  <c r="B782" i="4"/>
  <c r="G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D783" i="4"/>
  <c r="E783" i="4"/>
  <c r="G783" i="4"/>
  <c r="C783" i="4"/>
  <c r="F783" i="4"/>
  <c r="B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G784" i="4"/>
  <c r="B784" i="4"/>
  <c r="D784" i="4"/>
  <c r="E784" i="4"/>
  <c r="F784" i="4"/>
  <c r="C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B785" i="4"/>
  <c r="D785" i="4"/>
  <c r="E785" i="4"/>
  <c r="F785" i="4"/>
  <c r="G785" i="4"/>
  <c r="C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F786" i="4"/>
  <c r="C786" i="4"/>
  <c r="D786" i="4"/>
  <c r="B786" i="4"/>
  <c r="G786" i="4"/>
  <c r="E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F787" i="4"/>
  <c r="D787" i="4"/>
  <c r="C787" i="4"/>
  <c r="E787" i="4"/>
  <c r="B787" i="4"/>
  <c r="G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E788" i="4"/>
  <c r="B788" i="4"/>
  <c r="C788" i="4"/>
  <c r="F788" i="4"/>
  <c r="G788" i="4"/>
  <c r="D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E789" i="4"/>
  <c r="G789" i="4"/>
  <c r="C789" i="4"/>
  <c r="F789" i="4"/>
  <c r="B789" i="4"/>
  <c r="D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E790" i="4"/>
  <c r="B790" i="4"/>
  <c r="F790" i="4"/>
  <c r="D790" i="4"/>
  <c r="G790" i="4"/>
  <c r="C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F791" i="4"/>
  <c r="C791" i="4"/>
  <c r="G791" i="4"/>
  <c r="E791" i="4"/>
  <c r="B791" i="4"/>
  <c r="D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D792" i="4"/>
  <c r="C792" i="4"/>
  <c r="G792" i="4"/>
  <c r="F792" i="4"/>
  <c r="B792" i="4"/>
  <c r="E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B793" i="4"/>
  <c r="F793" i="4"/>
  <c r="C793" i="4"/>
  <c r="D793" i="4"/>
  <c r="E793" i="4"/>
  <c r="G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F794" i="4"/>
  <c r="D794" i="4"/>
  <c r="B794" i="4"/>
  <c r="G794" i="4"/>
  <c r="C794" i="4"/>
  <c r="E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C795" i="4"/>
  <c r="D795" i="4"/>
  <c r="E795" i="4"/>
  <c r="F795" i="4"/>
  <c r="B795" i="4"/>
  <c r="G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E796" i="4"/>
  <c r="F796" i="4"/>
  <c r="G796" i="4"/>
  <c r="B796" i="4"/>
  <c r="D796" i="4"/>
  <c r="C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D797" i="4"/>
  <c r="G797" i="4"/>
  <c r="C797" i="4"/>
  <c r="E797" i="4"/>
  <c r="F797" i="4"/>
  <c r="B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E798" i="4"/>
  <c r="F798" i="4"/>
  <c r="C798" i="4"/>
  <c r="G798" i="4"/>
  <c r="D798" i="4"/>
  <c r="B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E799" i="4"/>
  <c r="C799" i="4"/>
  <c r="D799" i="4"/>
  <c r="G799" i="4"/>
  <c r="F799" i="4"/>
  <c r="B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D800" i="4"/>
  <c r="B800" i="4"/>
  <c r="E800" i="4"/>
  <c r="C800" i="4"/>
  <c r="F800" i="4"/>
  <c r="G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E801" i="4"/>
  <c r="D801" i="4"/>
  <c r="B801" i="4"/>
  <c r="G801" i="4"/>
  <c r="F801" i="4"/>
  <c r="C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C802" i="4"/>
  <c r="E802" i="4"/>
  <c r="B802" i="4"/>
  <c r="F802" i="4"/>
  <c r="G802" i="4"/>
  <c r="D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E803" i="4"/>
  <c r="D803" i="4"/>
  <c r="G803" i="4"/>
  <c r="F803" i="4"/>
  <c r="B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B804" i="4"/>
  <c r="D804" i="4"/>
  <c r="F804" i="4"/>
  <c r="G804" i="4"/>
  <c r="E804" i="4"/>
  <c r="C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D805" i="4"/>
  <c r="G805" i="4"/>
  <c r="C805" i="4"/>
  <c r="F805" i="4"/>
  <c r="B805" i="4"/>
  <c r="E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F806" i="4"/>
  <c r="G806" i="4"/>
  <c r="D806" i="4"/>
  <c r="B806" i="4"/>
  <c r="C806" i="4"/>
  <c r="E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C807" i="4"/>
  <c r="G807" i="4"/>
  <c r="F807" i="4"/>
  <c r="B807" i="4"/>
  <c r="E807" i="4"/>
  <c r="D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C808" i="4"/>
  <c r="B808" i="4"/>
  <c r="F808" i="4"/>
  <c r="E808" i="4"/>
  <c r="D808" i="4"/>
  <c r="G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E809" i="4"/>
  <c r="D809" i="4"/>
  <c r="B809" i="4"/>
  <c r="F809" i="4"/>
  <c r="C809" i="4"/>
  <c r="G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G810" i="4"/>
  <c r="B810" i="4"/>
  <c r="E810" i="4"/>
  <c r="C810" i="4"/>
  <c r="F810" i="4"/>
  <c r="D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B811" i="4"/>
  <c r="C811" i="4"/>
  <c r="E811" i="4"/>
  <c r="D811" i="4"/>
  <c r="F811" i="4"/>
  <c r="G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G812" i="4"/>
  <c r="E812" i="4"/>
  <c r="F812" i="4"/>
  <c r="D812" i="4"/>
  <c r="B812" i="4"/>
  <c r="C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D813" i="4"/>
  <c r="F813" i="4"/>
  <c r="E813" i="4"/>
  <c r="G813" i="4"/>
  <c r="B813" i="4"/>
  <c r="C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F814" i="4"/>
  <c r="G814" i="4"/>
  <c r="D814" i="4"/>
  <c r="B814" i="4"/>
  <c r="C814" i="4"/>
  <c r="E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D815" i="4"/>
  <c r="B815" i="4"/>
  <c r="F815" i="4"/>
  <c r="C815" i="4"/>
  <c r="E815" i="4"/>
  <c r="G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E816" i="4"/>
  <c r="D816" i="4"/>
  <c r="B816" i="4"/>
  <c r="G816" i="4"/>
  <c r="F816" i="4"/>
  <c r="C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D817" i="4"/>
  <c r="B817" i="4"/>
  <c r="G817" i="4"/>
  <c r="C817" i="4"/>
  <c r="F817" i="4"/>
  <c r="E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D818" i="4"/>
  <c r="C818" i="4"/>
  <c r="B818" i="4"/>
  <c r="F818" i="4"/>
  <c r="G818" i="4"/>
  <c r="E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C819" i="4"/>
  <c r="D819" i="4"/>
  <c r="B819" i="4"/>
  <c r="F819" i="4"/>
  <c r="G819" i="4"/>
  <c r="E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E820" i="4"/>
  <c r="B820" i="4"/>
  <c r="C820" i="4"/>
  <c r="F820" i="4"/>
  <c r="D820" i="4"/>
  <c r="G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C821" i="4"/>
  <c r="E821" i="4"/>
  <c r="B821" i="4"/>
  <c r="G821" i="4"/>
  <c r="D821" i="4"/>
  <c r="F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G822" i="4"/>
  <c r="C822" i="4"/>
  <c r="F822" i="4"/>
  <c r="D822" i="4"/>
  <c r="E822" i="4"/>
  <c r="B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C823" i="4"/>
  <c r="E823" i="4"/>
  <c r="D823" i="4"/>
  <c r="G823" i="4"/>
  <c r="F823" i="4"/>
  <c r="B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B824" i="4"/>
  <c r="G824" i="4"/>
  <c r="E824" i="4"/>
  <c r="C824" i="4"/>
  <c r="D824" i="4"/>
  <c r="F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F825" i="4"/>
  <c r="B825" i="4"/>
  <c r="E825" i="4"/>
  <c r="D825" i="4"/>
  <c r="G825" i="4"/>
  <c r="C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F826" i="4"/>
  <c r="E826" i="4"/>
  <c r="B826" i="4"/>
  <c r="C826" i="4"/>
  <c r="G826" i="4"/>
  <c r="D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E827" i="4"/>
  <c r="B827" i="4"/>
  <c r="G827" i="4"/>
  <c r="C827" i="4"/>
  <c r="F827" i="4"/>
  <c r="D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G828" i="4"/>
  <c r="C828" i="4"/>
  <c r="E828" i="4"/>
  <c r="B828" i="4"/>
  <c r="D828" i="4"/>
  <c r="F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C829" i="4"/>
  <c r="D829" i="4"/>
  <c r="B829" i="4"/>
  <c r="E829" i="4"/>
  <c r="G829" i="4"/>
  <c r="F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D830" i="4"/>
  <c r="G830" i="4"/>
  <c r="E830" i="4"/>
  <c r="F830" i="4"/>
  <c r="C830" i="4"/>
  <c r="B830" i="4"/>
  <c r="B829" i="6" l="1"/>
  <c r="C829" i="6" s="1"/>
  <c r="K828" i="8"/>
  <c r="G827" i="6"/>
  <c r="L828" i="8" s="1"/>
  <c r="E827" i="6"/>
  <c r="F827" i="6" s="1"/>
  <c r="D828" i="8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E831" i="4"/>
  <c r="G831" i="4"/>
  <c r="C831" i="4"/>
  <c r="F831" i="4"/>
  <c r="D831" i="4"/>
  <c r="B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F832" i="4"/>
  <c r="B832" i="4"/>
  <c r="G832" i="4"/>
  <c r="C832" i="4"/>
  <c r="E832" i="4"/>
  <c r="D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E833" i="4"/>
  <c r="D833" i="4"/>
  <c r="C833" i="4"/>
  <c r="G833" i="4"/>
  <c r="F833" i="4"/>
  <c r="B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D834" i="4"/>
  <c r="B834" i="4"/>
  <c r="F834" i="4"/>
  <c r="E834" i="4"/>
  <c r="G834" i="4"/>
  <c r="C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G835" i="4"/>
  <c r="D835" i="4"/>
  <c r="F835" i="4"/>
  <c r="C835" i="4"/>
  <c r="B835" i="4"/>
  <c r="E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C836" i="4"/>
  <c r="E836" i="4"/>
  <c r="F836" i="4"/>
  <c r="G836" i="4"/>
  <c r="D836" i="4"/>
  <c r="B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B837" i="4"/>
  <c r="F837" i="4"/>
  <c r="C837" i="4"/>
  <c r="D837" i="4"/>
  <c r="E837" i="4"/>
  <c r="G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G838" i="4"/>
  <c r="F838" i="4"/>
  <c r="B838" i="4"/>
  <c r="C838" i="4"/>
  <c r="D838" i="4"/>
  <c r="E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F839" i="4"/>
  <c r="D839" i="4"/>
  <c r="C839" i="4"/>
  <c r="B839" i="4"/>
  <c r="G839" i="4"/>
  <c r="E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G840" i="4"/>
  <c r="E840" i="4"/>
  <c r="C840" i="4"/>
  <c r="B840" i="4"/>
  <c r="D840" i="4"/>
  <c r="F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G841" i="4"/>
  <c r="F841" i="4"/>
  <c r="B841" i="4"/>
  <c r="E841" i="4"/>
  <c r="C841" i="4"/>
  <c r="D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G842" i="4"/>
  <c r="D842" i="4"/>
  <c r="F842" i="4"/>
  <c r="E842" i="4"/>
  <c r="C842" i="4"/>
  <c r="B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B843" i="4"/>
  <c r="G843" i="4"/>
  <c r="C843" i="4"/>
  <c r="F843" i="4"/>
  <c r="E843" i="4"/>
  <c r="D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D844" i="4"/>
  <c r="B844" i="4"/>
  <c r="C844" i="4"/>
  <c r="G844" i="4"/>
  <c r="F844" i="4"/>
  <c r="E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F845" i="4"/>
  <c r="E845" i="4"/>
  <c r="D845" i="4"/>
  <c r="G845" i="4"/>
  <c r="B845" i="4"/>
  <c r="C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B846" i="4"/>
  <c r="G846" i="4"/>
  <c r="F846" i="4"/>
  <c r="D846" i="4"/>
  <c r="E846" i="4"/>
  <c r="C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E847" i="4"/>
  <c r="F847" i="4"/>
  <c r="B847" i="4"/>
  <c r="G847" i="4"/>
  <c r="C847" i="4"/>
  <c r="D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E848" i="4"/>
  <c r="C848" i="4"/>
  <c r="B848" i="4"/>
  <c r="D848" i="4"/>
  <c r="G848" i="4"/>
  <c r="F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C849" i="4"/>
  <c r="B849" i="4"/>
  <c r="E849" i="4"/>
  <c r="G849" i="4"/>
  <c r="D849" i="4"/>
  <c r="F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F850" i="4"/>
  <c r="E850" i="4"/>
  <c r="G850" i="4"/>
  <c r="B850" i="4"/>
  <c r="D850" i="4"/>
  <c r="C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D851" i="4"/>
  <c r="G851" i="4"/>
  <c r="C851" i="4"/>
  <c r="B851" i="4"/>
  <c r="E851" i="4"/>
  <c r="F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E852" i="4"/>
  <c r="G852" i="4"/>
  <c r="C852" i="4"/>
  <c r="F852" i="4"/>
  <c r="D852" i="4"/>
  <c r="B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E853" i="4"/>
  <c r="D853" i="4"/>
  <c r="G853" i="4"/>
  <c r="F853" i="4"/>
  <c r="B853" i="4"/>
  <c r="C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E854" i="4"/>
  <c r="G854" i="4"/>
  <c r="C854" i="4"/>
  <c r="D854" i="4"/>
  <c r="B854" i="4"/>
  <c r="F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E855" i="4"/>
  <c r="G855" i="4"/>
  <c r="C855" i="4"/>
  <c r="F855" i="4"/>
  <c r="D855" i="4"/>
  <c r="B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F856" i="4"/>
  <c r="G856" i="4"/>
  <c r="E856" i="4"/>
  <c r="B856" i="4"/>
  <c r="D856" i="4"/>
  <c r="C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B857" i="4"/>
  <c r="C857" i="4"/>
  <c r="F857" i="4"/>
  <c r="G857" i="4"/>
  <c r="E857" i="4"/>
  <c r="D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C858" i="4"/>
  <c r="E858" i="4"/>
  <c r="G858" i="4"/>
  <c r="B858" i="4"/>
  <c r="F858" i="4"/>
  <c r="D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D859" i="4"/>
  <c r="C859" i="4"/>
  <c r="B859" i="4"/>
  <c r="F859" i="4"/>
  <c r="E859" i="4"/>
  <c r="G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D860" i="4"/>
  <c r="B860" i="4"/>
  <c r="G860" i="4"/>
  <c r="E860" i="4"/>
  <c r="C860" i="4"/>
  <c r="F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C861" i="4"/>
  <c r="G861" i="4"/>
  <c r="B861" i="4"/>
  <c r="F861" i="4"/>
  <c r="E861" i="4"/>
  <c r="D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E862" i="4"/>
  <c r="B862" i="4"/>
  <c r="D862" i="4"/>
  <c r="C862" i="4"/>
  <c r="G862" i="4"/>
  <c r="F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G863" i="4"/>
  <c r="F863" i="4"/>
  <c r="D863" i="4"/>
  <c r="B863" i="4"/>
  <c r="C863" i="4"/>
  <c r="E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D864" i="4"/>
  <c r="C864" i="4"/>
  <c r="G864" i="4"/>
  <c r="F864" i="4"/>
  <c r="E864" i="4"/>
  <c r="B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B865" i="4"/>
  <c r="F865" i="4"/>
  <c r="C865" i="4"/>
  <c r="D865" i="4"/>
  <c r="G865" i="4"/>
  <c r="E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D866" i="4"/>
  <c r="B866" i="4"/>
  <c r="E866" i="4"/>
  <c r="F866" i="4"/>
  <c r="C866" i="4"/>
  <c r="G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G867" i="4"/>
  <c r="E867" i="4"/>
  <c r="D867" i="4"/>
  <c r="F867" i="4"/>
  <c r="B867" i="4"/>
  <c r="C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F868" i="4"/>
  <c r="D868" i="4"/>
  <c r="B868" i="4"/>
  <c r="C868" i="4"/>
  <c r="E868" i="4"/>
  <c r="G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E869" i="4"/>
  <c r="C869" i="4"/>
  <c r="B869" i="4"/>
  <c r="F869" i="4"/>
  <c r="D869" i="4"/>
  <c r="G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G870" i="4"/>
  <c r="B870" i="4"/>
  <c r="F870" i="4"/>
  <c r="E870" i="4"/>
  <c r="C870" i="4"/>
  <c r="D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E871" i="4"/>
  <c r="G871" i="4"/>
  <c r="C871" i="4"/>
  <c r="B871" i="4"/>
  <c r="D871" i="4"/>
  <c r="F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B872" i="4"/>
  <c r="G872" i="4"/>
  <c r="C872" i="4"/>
  <c r="F872" i="4"/>
  <c r="E872" i="4"/>
  <c r="D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F873" i="4"/>
  <c r="D873" i="4"/>
  <c r="C873" i="4"/>
  <c r="B873" i="4"/>
  <c r="G873" i="4"/>
  <c r="E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F874" i="4"/>
  <c r="D874" i="4"/>
  <c r="C874" i="4"/>
  <c r="E874" i="4"/>
  <c r="G874" i="4"/>
  <c r="B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D875" i="4"/>
  <c r="F875" i="4"/>
  <c r="B875" i="4"/>
  <c r="E875" i="4"/>
  <c r="G875" i="4"/>
  <c r="C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F876" i="4"/>
  <c r="E876" i="4"/>
  <c r="B876" i="4"/>
  <c r="D876" i="4"/>
  <c r="G876" i="4"/>
  <c r="C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B877" i="4"/>
  <c r="G877" i="4"/>
  <c r="D877" i="4"/>
  <c r="C877" i="4"/>
  <c r="F877" i="4"/>
  <c r="E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D878" i="4"/>
  <c r="F878" i="4"/>
  <c r="G878" i="4"/>
  <c r="C878" i="4"/>
  <c r="B878" i="4"/>
  <c r="E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B879" i="4"/>
  <c r="D879" i="4"/>
  <c r="E879" i="4"/>
  <c r="G879" i="4"/>
  <c r="C879" i="4"/>
  <c r="F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D880" i="4"/>
  <c r="F880" i="4"/>
  <c r="C880" i="4"/>
  <c r="G880" i="4"/>
  <c r="E880" i="4"/>
  <c r="B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C881" i="4"/>
  <c r="B881" i="4"/>
  <c r="G881" i="4"/>
  <c r="F881" i="4"/>
  <c r="D881" i="4"/>
  <c r="E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B882" i="4"/>
  <c r="C882" i="4"/>
  <c r="G882" i="4"/>
  <c r="E882" i="4"/>
  <c r="D882" i="4"/>
  <c r="F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C883" i="4"/>
  <c r="D883" i="4"/>
  <c r="F883" i="4"/>
  <c r="G883" i="4"/>
  <c r="B883" i="4"/>
  <c r="E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D884" i="4"/>
  <c r="B884" i="4"/>
  <c r="E884" i="4"/>
  <c r="G884" i="4"/>
  <c r="F884" i="4"/>
  <c r="C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D885" i="4"/>
  <c r="F885" i="4"/>
  <c r="C885" i="4"/>
  <c r="G885" i="4"/>
  <c r="E885" i="4"/>
  <c r="B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C886" i="4"/>
  <c r="E886" i="4"/>
  <c r="B886" i="4"/>
  <c r="D886" i="4"/>
  <c r="G886" i="4"/>
  <c r="F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F887" i="4"/>
  <c r="E887" i="4"/>
  <c r="G887" i="4"/>
  <c r="C887" i="4"/>
  <c r="D887" i="4"/>
  <c r="B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E888" i="4"/>
  <c r="C888" i="4"/>
  <c r="D888" i="4"/>
  <c r="B888" i="4"/>
  <c r="F888" i="4"/>
  <c r="G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C889" i="4"/>
  <c r="F889" i="4"/>
  <c r="E889" i="4"/>
  <c r="B889" i="4"/>
  <c r="D889" i="4"/>
  <c r="G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C890" i="4"/>
  <c r="G890" i="4"/>
  <c r="F890" i="4"/>
  <c r="D890" i="4"/>
  <c r="E890" i="4"/>
  <c r="B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F891" i="4"/>
  <c r="B891" i="4"/>
  <c r="G891" i="4"/>
  <c r="E891" i="4"/>
  <c r="C891" i="4"/>
  <c r="D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F892" i="4"/>
  <c r="G892" i="4"/>
  <c r="E892" i="4"/>
  <c r="D892" i="4"/>
  <c r="C892" i="4"/>
  <c r="B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G893" i="4"/>
  <c r="F893" i="4"/>
  <c r="B893" i="4"/>
  <c r="C893" i="4"/>
  <c r="D893" i="4"/>
  <c r="E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F894" i="4"/>
  <c r="B894" i="4"/>
  <c r="D894" i="4"/>
  <c r="E894" i="4"/>
  <c r="G894" i="4"/>
  <c r="C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F895" i="4"/>
  <c r="B895" i="4"/>
  <c r="C895" i="4"/>
  <c r="D895" i="4"/>
  <c r="E895" i="4"/>
  <c r="G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G896" i="4"/>
  <c r="B896" i="4"/>
  <c r="C896" i="4"/>
  <c r="E896" i="4"/>
  <c r="F896" i="4"/>
  <c r="D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D897" i="4"/>
  <c r="F897" i="4"/>
  <c r="G897" i="4"/>
  <c r="B897" i="4"/>
  <c r="C897" i="4"/>
  <c r="E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F898" i="4"/>
  <c r="G898" i="4"/>
  <c r="E898" i="4"/>
  <c r="C898" i="4"/>
  <c r="D898" i="4"/>
  <c r="B898" i="4"/>
  <c r="E895" i="6" l="1"/>
  <c r="F895" i="6" s="1"/>
  <c r="D896" i="8" s="1"/>
  <c r="B897" i="6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C897" i="6"/>
  <c r="D897" i="6" s="1"/>
  <c r="H898" i="4"/>
  <c r="I898" i="4"/>
  <c r="A898" i="6"/>
  <c r="A899" i="8" s="1"/>
  <c r="F899" i="4"/>
  <c r="C899" i="4"/>
  <c r="D899" i="4"/>
  <c r="E899" i="4"/>
  <c r="B899" i="4"/>
  <c r="G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C900" i="4"/>
  <c r="D900" i="4"/>
  <c r="G900" i="4"/>
  <c r="E900" i="4"/>
  <c r="B900" i="4"/>
  <c r="F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F901" i="4"/>
  <c r="B901" i="4"/>
  <c r="C901" i="4"/>
  <c r="E901" i="4"/>
  <c r="D901" i="4"/>
  <c r="G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E902" i="4"/>
  <c r="F902" i="4"/>
  <c r="D902" i="4"/>
  <c r="B902" i="4"/>
  <c r="C902" i="4"/>
  <c r="G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C903" i="4"/>
  <c r="G903" i="4"/>
  <c r="E903" i="4"/>
  <c r="D903" i="4"/>
  <c r="F903" i="4"/>
  <c r="B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B904" i="4"/>
  <c r="F904" i="4"/>
  <c r="D904" i="4"/>
  <c r="C904" i="4"/>
  <c r="E904" i="4"/>
  <c r="G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C905" i="4"/>
  <c r="B905" i="4"/>
  <c r="G905" i="4"/>
  <c r="F905" i="4"/>
  <c r="E905" i="4"/>
  <c r="D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E906" i="4"/>
  <c r="F906" i="4"/>
  <c r="D906" i="4"/>
  <c r="G906" i="4"/>
  <c r="B906" i="4"/>
  <c r="C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C907" i="4"/>
  <c r="B907" i="4"/>
  <c r="D907" i="4"/>
  <c r="F907" i="4"/>
  <c r="G907" i="4"/>
  <c r="E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C908" i="4"/>
  <c r="B908" i="4"/>
  <c r="E908" i="4"/>
  <c r="G908" i="4"/>
  <c r="D908" i="4"/>
  <c r="F908" i="4"/>
  <c r="B907" i="6" l="1"/>
  <c r="C907" i="6" s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I908" i="4"/>
  <c r="H908" i="4"/>
  <c r="A908" i="6"/>
  <c r="A909" i="8" s="1"/>
  <c r="G909" i="4"/>
  <c r="F909" i="4"/>
  <c r="E909" i="4"/>
  <c r="B909" i="4"/>
  <c r="C909" i="4"/>
  <c r="D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B910" i="4"/>
  <c r="G910" i="4"/>
  <c r="C910" i="4"/>
  <c r="E910" i="4"/>
  <c r="F910" i="4"/>
  <c r="D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D911" i="4"/>
  <c r="E911" i="4"/>
  <c r="F911" i="4"/>
  <c r="B911" i="4"/>
  <c r="G911" i="4"/>
  <c r="C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B912" i="4"/>
  <c r="D912" i="4"/>
  <c r="E912" i="4"/>
  <c r="G912" i="4"/>
  <c r="F912" i="4"/>
  <c r="C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E913" i="4"/>
  <c r="C913" i="4"/>
  <c r="D913" i="4"/>
  <c r="F913" i="4"/>
  <c r="G913" i="4"/>
  <c r="B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D914" i="4"/>
  <c r="B914" i="4"/>
  <c r="G914" i="4"/>
  <c r="E914" i="4"/>
  <c r="C914" i="4"/>
  <c r="F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D915" i="4"/>
  <c r="F915" i="4"/>
  <c r="B915" i="4"/>
  <c r="C915" i="4"/>
  <c r="E915" i="4"/>
  <c r="G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F916" i="4"/>
  <c r="C916" i="4"/>
  <c r="E916" i="4"/>
  <c r="B916" i="4"/>
  <c r="D916" i="4"/>
  <c r="G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C917" i="4"/>
  <c r="D917" i="4"/>
  <c r="F917" i="4"/>
  <c r="G917" i="4"/>
  <c r="B917" i="4"/>
  <c r="E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F918" i="4"/>
  <c r="E918" i="4"/>
  <c r="B918" i="4"/>
  <c r="D918" i="4"/>
  <c r="G918" i="4"/>
  <c r="C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F919" i="4"/>
  <c r="G919" i="4"/>
  <c r="D919" i="4"/>
  <c r="C919" i="4"/>
  <c r="B919" i="4"/>
  <c r="E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G920" i="4"/>
  <c r="C920" i="4"/>
  <c r="D920" i="4"/>
  <c r="B920" i="4"/>
  <c r="E920" i="4"/>
  <c r="F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B921" i="4"/>
  <c r="D921" i="4"/>
  <c r="F921" i="4"/>
  <c r="E921" i="4"/>
  <c r="G921" i="4"/>
  <c r="C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F922" i="4"/>
  <c r="C922" i="4"/>
  <c r="B922" i="4"/>
  <c r="G922" i="4"/>
  <c r="D922" i="4"/>
  <c r="E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G923" i="4"/>
  <c r="C923" i="4"/>
  <c r="B923" i="4"/>
  <c r="E923" i="4"/>
  <c r="F923" i="4"/>
  <c r="D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F924" i="4"/>
  <c r="C924" i="4"/>
  <c r="D924" i="4"/>
  <c r="E924" i="4"/>
  <c r="B924" i="4"/>
  <c r="G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B925" i="4"/>
  <c r="E925" i="4"/>
  <c r="G925" i="4"/>
  <c r="D925" i="4"/>
  <c r="C925" i="4"/>
  <c r="F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G926" i="4"/>
  <c r="C926" i="4"/>
  <c r="B926" i="4"/>
  <c r="E926" i="4"/>
  <c r="F926" i="4"/>
  <c r="D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D927" i="4"/>
  <c r="C927" i="4"/>
  <c r="G927" i="4"/>
  <c r="E927" i="4"/>
  <c r="F927" i="4"/>
  <c r="B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B928" i="4"/>
  <c r="D928" i="4"/>
  <c r="G928" i="4"/>
  <c r="C928" i="4"/>
  <c r="F928" i="4"/>
  <c r="E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C929" i="4"/>
  <c r="E929" i="4"/>
  <c r="F929" i="4"/>
  <c r="G929" i="4"/>
  <c r="B929" i="4"/>
  <c r="D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C930" i="4"/>
  <c r="G930" i="4"/>
  <c r="F930" i="4"/>
  <c r="B930" i="4"/>
  <c r="D930" i="4"/>
  <c r="E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F931" i="4"/>
  <c r="C931" i="4"/>
  <c r="E931" i="4"/>
  <c r="G931" i="4"/>
  <c r="D931" i="4"/>
  <c r="B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D932" i="4"/>
  <c r="G932" i="4"/>
  <c r="B932" i="4"/>
  <c r="C932" i="4"/>
  <c r="F932" i="4"/>
  <c r="E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B933" i="4"/>
  <c r="G933" i="4"/>
  <c r="E933" i="4"/>
  <c r="D933" i="4"/>
  <c r="F933" i="4"/>
  <c r="C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G934" i="4"/>
  <c r="F934" i="4"/>
  <c r="B934" i="4"/>
  <c r="C934" i="4"/>
  <c r="E934" i="4"/>
  <c r="D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B935" i="4"/>
  <c r="C935" i="4"/>
  <c r="G935" i="4"/>
  <c r="F935" i="4"/>
  <c r="E935" i="4"/>
  <c r="D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G936" i="4"/>
  <c r="D936" i="4"/>
  <c r="E936" i="4"/>
  <c r="F936" i="4"/>
  <c r="B936" i="4"/>
  <c r="C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F937" i="4"/>
  <c r="C937" i="4"/>
  <c r="G937" i="4"/>
  <c r="B937" i="4"/>
  <c r="D937" i="4"/>
  <c r="E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C938" i="4"/>
  <c r="D938" i="4"/>
  <c r="G938" i="4"/>
  <c r="B938" i="4"/>
  <c r="F938" i="4"/>
  <c r="E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F939" i="4"/>
  <c r="E939" i="4"/>
  <c r="G939" i="4"/>
  <c r="B939" i="4"/>
  <c r="C939" i="4"/>
  <c r="D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G940" i="4"/>
  <c r="D940" i="4"/>
  <c r="F940" i="4"/>
  <c r="B940" i="4"/>
  <c r="C940" i="4"/>
  <c r="E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D941" i="4"/>
  <c r="B941" i="4"/>
  <c r="F941" i="4"/>
  <c r="C941" i="4"/>
  <c r="G941" i="4"/>
  <c r="E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F942" i="4"/>
  <c r="C942" i="4"/>
  <c r="E942" i="4"/>
  <c r="B942" i="4"/>
  <c r="G942" i="4"/>
  <c r="D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F943" i="4"/>
  <c r="E943" i="4"/>
  <c r="D943" i="4"/>
  <c r="G943" i="4"/>
  <c r="C943" i="4"/>
  <c r="B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C944" i="4"/>
  <c r="E944" i="4"/>
  <c r="G944" i="4"/>
  <c r="D944" i="4"/>
  <c r="F944" i="4"/>
  <c r="B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B945" i="4"/>
  <c r="D945" i="4"/>
  <c r="E945" i="4"/>
  <c r="F945" i="4"/>
  <c r="G945" i="4"/>
  <c r="C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B946" i="4"/>
  <c r="D946" i="4"/>
  <c r="C946" i="4"/>
  <c r="G946" i="4"/>
  <c r="F946" i="4"/>
  <c r="E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F947" i="4"/>
  <c r="G947" i="4"/>
  <c r="D947" i="4"/>
  <c r="C947" i="4"/>
  <c r="B947" i="4"/>
  <c r="E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C948" i="4"/>
  <c r="G948" i="4"/>
  <c r="F948" i="4"/>
  <c r="B948" i="4"/>
  <c r="D948" i="4"/>
  <c r="E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C949" i="4"/>
  <c r="F949" i="4"/>
  <c r="D949" i="4"/>
  <c r="B949" i="4"/>
  <c r="G949" i="4"/>
  <c r="E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G950" i="4"/>
  <c r="B950" i="4"/>
  <c r="C950" i="4"/>
  <c r="E950" i="4"/>
  <c r="D950" i="4"/>
  <c r="F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C951" i="4"/>
  <c r="E951" i="4"/>
  <c r="F951" i="4"/>
  <c r="D951" i="4"/>
  <c r="G951" i="4"/>
  <c r="B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C952" i="4"/>
  <c r="G952" i="4"/>
  <c r="B952" i="4"/>
  <c r="E952" i="4"/>
  <c r="F952" i="4"/>
  <c r="D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F953" i="4"/>
  <c r="B953" i="4"/>
  <c r="G953" i="4"/>
  <c r="C953" i="4"/>
  <c r="E953" i="4"/>
  <c r="D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F954" i="4"/>
  <c r="D954" i="4"/>
  <c r="E954" i="4"/>
  <c r="B954" i="4"/>
  <c r="G954" i="4"/>
  <c r="C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D955" i="4"/>
  <c r="F955" i="4"/>
  <c r="C955" i="4"/>
  <c r="B955" i="4"/>
  <c r="G955" i="4"/>
  <c r="E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D956" i="4"/>
  <c r="F956" i="4"/>
  <c r="B956" i="4"/>
  <c r="E956" i="4"/>
  <c r="C956" i="4"/>
  <c r="G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C957" i="4"/>
  <c r="F957" i="4"/>
  <c r="E957" i="4"/>
  <c r="B957" i="4"/>
  <c r="D957" i="4"/>
  <c r="G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B958" i="4"/>
  <c r="E958" i="4"/>
  <c r="D958" i="4"/>
  <c r="G958" i="4"/>
  <c r="C958" i="4"/>
  <c r="F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F959" i="4"/>
  <c r="B959" i="4"/>
  <c r="E959" i="4"/>
  <c r="G959" i="4"/>
  <c r="D959" i="4"/>
  <c r="C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F960" i="4"/>
  <c r="C960" i="4"/>
  <c r="D960" i="4"/>
  <c r="E960" i="4"/>
  <c r="B960" i="4"/>
  <c r="G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F961" i="4"/>
  <c r="B961" i="4"/>
  <c r="C961" i="4"/>
  <c r="G961" i="4"/>
  <c r="D961" i="4"/>
  <c r="E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D962" i="4"/>
  <c r="C962" i="4"/>
  <c r="E962" i="4"/>
  <c r="B962" i="4"/>
  <c r="G962" i="4"/>
  <c r="F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G963" i="4"/>
  <c r="E963" i="4"/>
  <c r="B963" i="4"/>
  <c r="D963" i="4"/>
  <c r="F963" i="4"/>
  <c r="C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G964" i="4"/>
  <c r="E964" i="4"/>
  <c r="C964" i="4"/>
  <c r="D964" i="4"/>
  <c r="B964" i="4"/>
  <c r="F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E965" i="4"/>
  <c r="G965" i="4"/>
  <c r="F965" i="4"/>
  <c r="D965" i="4"/>
  <c r="C965" i="4"/>
  <c r="B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F966" i="4"/>
  <c r="D966" i="4"/>
  <c r="G966" i="4"/>
  <c r="E966" i="4"/>
  <c r="C966" i="4"/>
  <c r="B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C967" i="4"/>
  <c r="F967" i="4"/>
  <c r="D967" i="4"/>
  <c r="G967" i="4"/>
  <c r="B967" i="4"/>
  <c r="E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G968" i="4"/>
  <c r="D968" i="4"/>
  <c r="E968" i="4"/>
  <c r="F968" i="4"/>
  <c r="C968" i="4"/>
  <c r="B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G969" i="4"/>
  <c r="C969" i="4"/>
  <c r="E969" i="4"/>
  <c r="D969" i="4"/>
  <c r="B969" i="4"/>
  <c r="F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E970" i="4"/>
  <c r="F970" i="4"/>
  <c r="C970" i="4"/>
  <c r="D970" i="4"/>
  <c r="B970" i="4"/>
  <c r="G970" i="4"/>
  <c r="B969" i="6" l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F966" i="8"/>
  <c r="E966" i="8"/>
  <c r="G966" i="8" s="1"/>
  <c r="I970" i="4"/>
  <c r="H970" i="4"/>
  <c r="A970" i="6"/>
  <c r="A971" i="8" s="1"/>
  <c r="D971" i="4"/>
  <c r="C971" i="4"/>
  <c r="B971" i="4"/>
  <c r="F971" i="4"/>
  <c r="G971" i="4"/>
  <c r="E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D972" i="4"/>
  <c r="F972" i="4"/>
  <c r="B972" i="4"/>
  <c r="G972" i="4"/>
  <c r="C972" i="4"/>
  <c r="E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D973" i="4"/>
  <c r="B973" i="4"/>
  <c r="C973" i="4"/>
  <c r="F973" i="4"/>
  <c r="G973" i="4"/>
  <c r="E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B974" i="4"/>
  <c r="D974" i="4"/>
  <c r="E974" i="4"/>
  <c r="F974" i="4"/>
  <c r="C974" i="4"/>
  <c r="G974" i="4"/>
  <c r="E970" i="8" l="1"/>
  <c r="G970" i="8" s="1"/>
  <c r="B973" i="6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I974" i="4"/>
  <c r="H974" i="4"/>
  <c r="A974" i="6"/>
  <c r="A975" i="8" s="1"/>
  <c r="B975" i="4"/>
  <c r="D975" i="4"/>
  <c r="F975" i="4"/>
  <c r="G975" i="4"/>
  <c r="E975" i="4"/>
  <c r="C975" i="4"/>
  <c r="D973" i="6" l="1"/>
  <c r="G973" i="6" s="1"/>
  <c r="L974" i="8" s="1"/>
  <c r="F971" i="8"/>
  <c r="H972" i="6"/>
  <c r="B973" i="8" s="1"/>
  <c r="F973" i="8" s="1"/>
  <c r="H971" i="6"/>
  <c r="B972" i="8" s="1"/>
  <c r="I975" i="4"/>
  <c r="H975" i="4"/>
  <c r="A975" i="6"/>
  <c r="A976" i="8" s="1"/>
  <c r="B974" i="6"/>
  <c r="C976" i="4"/>
  <c r="D976" i="4"/>
  <c r="F976" i="4"/>
  <c r="G976" i="4"/>
  <c r="E976" i="4"/>
  <c r="B976" i="4"/>
  <c r="K974" i="8" l="1"/>
  <c r="E973" i="6"/>
  <c r="F973" i="6" s="1"/>
  <c r="D974" i="8" s="1"/>
  <c r="H973" i="6"/>
  <c r="B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F977" i="4"/>
  <c r="D977" i="4"/>
  <c r="E977" i="4"/>
  <c r="G977" i="4"/>
  <c r="C977" i="4"/>
  <c r="B977" i="4"/>
  <c r="F974" i="8" l="1"/>
  <c r="E974" i="8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C978" i="4"/>
  <c r="G978" i="4"/>
  <c r="D978" i="4"/>
  <c r="B978" i="4"/>
  <c r="E978" i="4"/>
  <c r="F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E979" i="4"/>
  <c r="D979" i="4"/>
  <c r="C979" i="4"/>
  <c r="F979" i="4"/>
  <c r="B979" i="4"/>
  <c r="G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F980" i="4"/>
  <c r="D980" i="4"/>
  <c r="B980" i="4"/>
  <c r="G980" i="4"/>
  <c r="E980" i="4"/>
  <c r="C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E981" i="4"/>
  <c r="C981" i="4"/>
  <c r="G981" i="4"/>
  <c r="D981" i="4"/>
  <c r="B981" i="4"/>
  <c r="F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G982" i="4"/>
  <c r="E982" i="4"/>
  <c r="B982" i="4"/>
  <c r="F982" i="4"/>
  <c r="D982" i="4"/>
  <c r="C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G983" i="4"/>
  <c r="B983" i="4"/>
  <c r="F983" i="4"/>
  <c r="E983" i="4"/>
  <c r="C983" i="4"/>
  <c r="D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F984" i="4"/>
  <c r="D984" i="4"/>
  <c r="B984" i="4"/>
  <c r="G984" i="4"/>
  <c r="C984" i="4"/>
  <c r="E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D985" i="4"/>
  <c r="G985" i="4"/>
  <c r="C985" i="4"/>
  <c r="B985" i="4"/>
  <c r="E985" i="4"/>
  <c r="F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G986" i="4"/>
  <c r="C986" i="4"/>
  <c r="F986" i="4"/>
  <c r="E986" i="4"/>
  <c r="D986" i="4"/>
  <c r="B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G987" i="4"/>
  <c r="E987" i="4"/>
  <c r="D987" i="4"/>
  <c r="F987" i="4"/>
  <c r="B987" i="4"/>
  <c r="C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E988" i="4"/>
  <c r="G988" i="4"/>
  <c r="D988" i="4"/>
  <c r="F988" i="4"/>
  <c r="B988" i="4"/>
  <c r="C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E989" i="4"/>
  <c r="D989" i="4"/>
  <c r="G989" i="4"/>
  <c r="F989" i="4"/>
  <c r="C989" i="4"/>
  <c r="B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D990" i="4"/>
  <c r="E990" i="4"/>
  <c r="G990" i="4"/>
  <c r="C990" i="4"/>
  <c r="B990" i="4"/>
  <c r="F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F991" i="4"/>
  <c r="C991" i="4"/>
  <c r="B991" i="4"/>
  <c r="E991" i="4"/>
  <c r="G991" i="4"/>
  <c r="D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C992" i="4"/>
  <c r="D992" i="4"/>
  <c r="B992" i="4"/>
  <c r="E992" i="4"/>
  <c r="F992" i="4"/>
  <c r="G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G993" i="4"/>
  <c r="C993" i="4"/>
  <c r="B993" i="4"/>
  <c r="E993" i="4"/>
  <c r="D993" i="4"/>
  <c r="F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B994" i="4"/>
  <c r="G994" i="4"/>
  <c r="F994" i="4"/>
  <c r="E994" i="4"/>
  <c r="D994" i="4"/>
  <c r="C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D995" i="4"/>
  <c r="C995" i="4"/>
  <c r="E995" i="4"/>
  <c r="G995" i="4"/>
  <c r="F995" i="4"/>
  <c r="B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D996" i="4"/>
  <c r="E996" i="4"/>
  <c r="B996" i="4"/>
  <c r="C996" i="4"/>
  <c r="F996" i="4"/>
  <c r="G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C997" i="4"/>
  <c r="E997" i="4"/>
  <c r="D997" i="4"/>
  <c r="B997" i="4"/>
  <c r="F997" i="4"/>
  <c r="G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D998" i="4"/>
  <c r="B998" i="4"/>
  <c r="C998" i="4"/>
  <c r="G998" i="4"/>
  <c r="F998" i="4"/>
  <c r="E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F999" i="4"/>
  <c r="E999" i="4"/>
  <c r="D999" i="4"/>
  <c r="G999" i="4"/>
  <c r="B999" i="4"/>
  <c r="C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B1000" i="4"/>
  <c r="E1000" i="4"/>
  <c r="C1000" i="4"/>
  <c r="F1000" i="4"/>
  <c r="G1000" i="4"/>
  <c r="D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F1001" i="4"/>
  <c r="D1001" i="4"/>
  <c r="E1001" i="4"/>
  <c r="G1001" i="4"/>
  <c r="C1001" i="4"/>
  <c r="B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G1002" i="4"/>
  <c r="E1002" i="4"/>
  <c r="D1002" i="4"/>
  <c r="C1002" i="4"/>
  <c r="F1002" i="4"/>
  <c r="B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F1003" i="4"/>
  <c r="D1003" i="4"/>
  <c r="B1003" i="4"/>
  <c r="E1003" i="4"/>
  <c r="C1003" i="4"/>
  <c r="G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C1004" i="4"/>
  <c r="F1004" i="4"/>
  <c r="E1004" i="4"/>
  <c r="G1004" i="4"/>
  <c r="B1004" i="4"/>
  <c r="D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B1005" i="4"/>
  <c r="E1005" i="4"/>
  <c r="D1005" i="4"/>
  <c r="C1005" i="4"/>
  <c r="F1005" i="4"/>
  <c r="G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B1006" i="4"/>
  <c r="E1006" i="4"/>
  <c r="G1006" i="4"/>
  <c r="D1006" i="4"/>
  <c r="C1006" i="4"/>
  <c r="F1006" i="4"/>
  <c r="D1004" i="6" l="1"/>
  <c r="K1005" i="8" s="1"/>
  <c r="H1002" i="6"/>
  <c r="B1003" i="8" s="1"/>
  <c r="F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G1007" i="4"/>
  <c r="E1007" i="4"/>
  <c r="C1007" i="4"/>
  <c r="B1007" i="4"/>
  <c r="D1007" i="4"/>
  <c r="F1007" i="4"/>
  <c r="E1004" i="6" l="1"/>
  <c r="F1004" i="6" s="1"/>
  <c r="D1005" i="8" s="1"/>
  <c r="G1004" i="6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E1008" i="4"/>
  <c r="D1008" i="4"/>
  <c r="C1008" i="4"/>
  <c r="G1008" i="4"/>
  <c r="B1008" i="4"/>
  <c r="F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C1009" i="4"/>
  <c r="B1009" i="4"/>
  <c r="G1009" i="4"/>
  <c r="F1009" i="4"/>
  <c r="D1009" i="4"/>
  <c r="E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C1010" i="4"/>
  <c r="B1010" i="4"/>
  <c r="G1010" i="4"/>
  <c r="F1010" i="4"/>
  <c r="D1010" i="4"/>
  <c r="E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B1011" i="4"/>
  <c r="G1011" i="4"/>
  <c r="F1011" i="4"/>
  <c r="E1011" i="4"/>
  <c r="C1011" i="4"/>
  <c r="D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D1012" i="4"/>
  <c r="F1012" i="4"/>
  <c r="C1012" i="4"/>
  <c r="G1012" i="4"/>
  <c r="E1012" i="4"/>
  <c r="B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E1013" i="4"/>
  <c r="F1013" i="4"/>
  <c r="D1013" i="4"/>
  <c r="C1013" i="4"/>
  <c r="G1013" i="4"/>
  <c r="B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G1014" i="4"/>
  <c r="C1014" i="4"/>
  <c r="E1014" i="4"/>
  <c r="F1014" i="4"/>
  <c r="B1014" i="4"/>
  <c r="D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F1015" i="4"/>
  <c r="B1015" i="4"/>
  <c r="D1015" i="4"/>
  <c r="E1015" i="4"/>
  <c r="G1015" i="4"/>
  <c r="C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C1016" i="4"/>
  <c r="D1016" i="4"/>
  <c r="G1016" i="4"/>
  <c r="B1016" i="4"/>
  <c r="F1016" i="4"/>
  <c r="E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D1017" i="4"/>
  <c r="B1017" i="4"/>
  <c r="G1017" i="4"/>
  <c r="F1017" i="4"/>
  <c r="E1017" i="4"/>
  <c r="C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F1018" i="4"/>
  <c r="E1018" i="4"/>
  <c r="D1018" i="4"/>
  <c r="G1018" i="4"/>
  <c r="B1018" i="4"/>
  <c r="C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B1019" i="4"/>
  <c r="F1019" i="4"/>
  <c r="E1019" i="4"/>
  <c r="D1019" i="4"/>
  <c r="C1019" i="4"/>
  <c r="G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B1020" i="4"/>
  <c r="C1020" i="4"/>
  <c r="F1020" i="4"/>
  <c r="G1020" i="4"/>
  <c r="D1020" i="4"/>
  <c r="E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G1021" i="4"/>
  <c r="C1021" i="4"/>
  <c r="D1021" i="4"/>
  <c r="B1021" i="4"/>
  <c r="F1021" i="4"/>
  <c r="E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E1022" i="4"/>
  <c r="F1022" i="4"/>
  <c r="D1022" i="4"/>
  <c r="B1022" i="4"/>
  <c r="C1022" i="4"/>
  <c r="G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G1023" i="4"/>
  <c r="C1023" i="4"/>
  <c r="B1023" i="4"/>
  <c r="E1023" i="4"/>
  <c r="F1023" i="4"/>
  <c r="D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B1024" i="4"/>
  <c r="D1024" i="4"/>
  <c r="F1024" i="4"/>
  <c r="E1024" i="4"/>
  <c r="G1024" i="4"/>
  <c r="C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D1025" i="4"/>
  <c r="C1025" i="4"/>
  <c r="G1025" i="4"/>
  <c r="B1025" i="4"/>
  <c r="E1025" i="4"/>
  <c r="F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E1026" i="4"/>
  <c r="D1026" i="4"/>
  <c r="B1026" i="4"/>
  <c r="C1026" i="4"/>
  <c r="F1026" i="4"/>
  <c r="G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B1027" i="4"/>
  <c r="G1027" i="4"/>
  <c r="D1027" i="4"/>
  <c r="E1027" i="4"/>
  <c r="F1027" i="4"/>
  <c r="C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B1028" i="4"/>
  <c r="C1028" i="4"/>
  <c r="D1028" i="4"/>
  <c r="F1028" i="4"/>
  <c r="G1028" i="4"/>
  <c r="E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B1029" i="4"/>
  <c r="E1029" i="4"/>
  <c r="F1029" i="4"/>
  <c r="G1029" i="4"/>
  <c r="D1029" i="4"/>
  <c r="C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F1030" i="4"/>
  <c r="D1030" i="4"/>
  <c r="B1030" i="4"/>
  <c r="E1030" i="4"/>
  <c r="C1030" i="4"/>
  <c r="G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G1031" i="4"/>
  <c r="D1031" i="4"/>
  <c r="B1031" i="4"/>
  <c r="C1031" i="4"/>
  <c r="E1031" i="4"/>
  <c r="F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B1032" i="4"/>
  <c r="D1032" i="4"/>
  <c r="G1032" i="4"/>
  <c r="E1032" i="4"/>
  <c r="C1032" i="4"/>
  <c r="F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G1033" i="4"/>
  <c r="D1033" i="4"/>
  <c r="C1033" i="4"/>
  <c r="E1033" i="4"/>
  <c r="B1033" i="4"/>
  <c r="F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D1034" i="4"/>
  <c r="G1034" i="4"/>
  <c r="C1034" i="4"/>
  <c r="B1034" i="4"/>
  <c r="E1034" i="4"/>
  <c r="F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F1035" i="4"/>
  <c r="B1035" i="4"/>
  <c r="C1035" i="4"/>
  <c r="G1035" i="4"/>
  <c r="D1035" i="4"/>
  <c r="E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F1036" i="4"/>
  <c r="D1036" i="4"/>
  <c r="C1036" i="4"/>
  <c r="G1036" i="4"/>
  <c r="E1036" i="4"/>
  <c r="B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D1037" i="4"/>
  <c r="G1037" i="4"/>
  <c r="B1037" i="4"/>
  <c r="C1037" i="4"/>
  <c r="F1037" i="4"/>
  <c r="E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E1038" i="4"/>
  <c r="G1038" i="4"/>
  <c r="B1038" i="4"/>
  <c r="F1038" i="4"/>
  <c r="D1038" i="4"/>
  <c r="C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D1039" i="4"/>
  <c r="F1039" i="4"/>
  <c r="E1039" i="4"/>
  <c r="G1039" i="4"/>
  <c r="B1039" i="4"/>
  <c r="C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B1040" i="4"/>
  <c r="D1040" i="4"/>
  <c r="E1040" i="4"/>
  <c r="C1040" i="4"/>
  <c r="G1040" i="4"/>
  <c r="F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C1041" i="4"/>
  <c r="E1041" i="4"/>
  <c r="B1041" i="4"/>
  <c r="D1041" i="4"/>
  <c r="G1041" i="4"/>
  <c r="F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C1042" i="4"/>
  <c r="G1042" i="4"/>
  <c r="D1042" i="4"/>
  <c r="E1042" i="4"/>
  <c r="F1042" i="4"/>
  <c r="B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G1043" i="4"/>
  <c r="E1043" i="4"/>
  <c r="B1043" i="4"/>
  <c r="D1043" i="4"/>
  <c r="C1043" i="4"/>
  <c r="F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E1044" i="4"/>
  <c r="F1044" i="4"/>
  <c r="G1044" i="4"/>
  <c r="B1044" i="4"/>
  <c r="C1044" i="4"/>
  <c r="D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B1045" i="4"/>
  <c r="D1045" i="4"/>
  <c r="G1045" i="4"/>
  <c r="F1045" i="4"/>
  <c r="C1045" i="4"/>
  <c r="E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C1046" i="4"/>
  <c r="E1046" i="4"/>
  <c r="G1046" i="4"/>
  <c r="D1046" i="4"/>
  <c r="F1046" i="4"/>
  <c r="B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D1047" i="4"/>
  <c r="E1047" i="4"/>
  <c r="G1047" i="4"/>
  <c r="C1047" i="4"/>
  <c r="B1047" i="4"/>
  <c r="F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E1048" i="4"/>
  <c r="B1048" i="4"/>
  <c r="F1048" i="4"/>
  <c r="D1048" i="4"/>
  <c r="C1048" i="4"/>
  <c r="G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D1049" i="4"/>
  <c r="C1049" i="4"/>
  <c r="E1049" i="4"/>
  <c r="F1049" i="4"/>
  <c r="G1049" i="4"/>
  <c r="B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D1050" i="4"/>
  <c r="F1050" i="4"/>
  <c r="G1050" i="4"/>
  <c r="B1050" i="4"/>
  <c r="C1050" i="4"/>
  <c r="E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F1051" i="4"/>
  <c r="E1051" i="4"/>
  <c r="D1051" i="4"/>
  <c r="C1051" i="4"/>
  <c r="B1051" i="4"/>
  <c r="G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E1052" i="4"/>
  <c r="F1052" i="4"/>
  <c r="G1052" i="4"/>
  <c r="B1052" i="4"/>
  <c r="C1052" i="4"/>
  <c r="D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E1053" i="4"/>
  <c r="G1053" i="4"/>
  <c r="C1053" i="4"/>
  <c r="F1053" i="4"/>
  <c r="D1053" i="4"/>
  <c r="B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E1054" i="4"/>
  <c r="G1054" i="4"/>
  <c r="D1054" i="4"/>
  <c r="B1054" i="4"/>
  <c r="F1054" i="4"/>
  <c r="C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F1055" i="4"/>
  <c r="G1055" i="4"/>
  <c r="E1055" i="4"/>
  <c r="C1055" i="4"/>
  <c r="B1055" i="4"/>
  <c r="D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F1056" i="4"/>
  <c r="D1056" i="4"/>
  <c r="G1056" i="4"/>
  <c r="E1056" i="4"/>
  <c r="B1056" i="4"/>
  <c r="C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D1057" i="4"/>
  <c r="B1057" i="4"/>
  <c r="C1057" i="4"/>
  <c r="F1057" i="4"/>
  <c r="E1057" i="4"/>
  <c r="G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B1058" i="4"/>
  <c r="G1058" i="4"/>
  <c r="E1058" i="4"/>
  <c r="F1058" i="4"/>
  <c r="D1058" i="4"/>
  <c r="C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B1059" i="4"/>
  <c r="C1059" i="4"/>
  <c r="D1059" i="4"/>
  <c r="E1059" i="4"/>
  <c r="F1059" i="4"/>
  <c r="G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G1060" i="4"/>
  <c r="D1060" i="4"/>
  <c r="F1060" i="4"/>
  <c r="C1060" i="4"/>
  <c r="E1060" i="4"/>
  <c r="B1060" i="4"/>
  <c r="B1059" i="6" l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C1059" i="6"/>
  <c r="H1060" i="4"/>
  <c r="I1060" i="4"/>
  <c r="A1060" i="6"/>
  <c r="A1061" i="8" s="1"/>
  <c r="D1061" i="4"/>
  <c r="G1061" i="4"/>
  <c r="C1061" i="4"/>
  <c r="F1061" i="4"/>
  <c r="B1061" i="4"/>
  <c r="E1061" i="4"/>
  <c r="D1059" i="6" l="1"/>
  <c r="G1059" i="6" s="1"/>
  <c r="L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E1062" i="4"/>
  <c r="F1062" i="4"/>
  <c r="B1062" i="4"/>
  <c r="C1062" i="4"/>
  <c r="G1062" i="4"/>
  <c r="D1062" i="4"/>
  <c r="E1059" i="6" l="1"/>
  <c r="F1059" i="6" s="1"/>
  <c r="D1060" i="8" s="1"/>
  <c r="K1060" i="8"/>
  <c r="H1058" i="6"/>
  <c r="B1059" i="8" s="1"/>
  <c r="F1059" i="8" s="1"/>
  <c r="H1059" i="6"/>
  <c r="B1060" i="8" s="1"/>
  <c r="C1060" i="6"/>
  <c r="D1060" i="6" s="1"/>
  <c r="F1058" i="8"/>
  <c r="E1058" i="8"/>
  <c r="G1058" i="8" s="1"/>
  <c r="H1062" i="4"/>
  <c r="I1062" i="4"/>
  <c r="A1062" i="6"/>
  <c r="A1063" i="8" s="1"/>
  <c r="B1061" i="6"/>
  <c r="B1063" i="4"/>
  <c r="G1063" i="4"/>
  <c r="D1063" i="4"/>
  <c r="F1063" i="4"/>
  <c r="C1063" i="4"/>
  <c r="E1063" i="4"/>
  <c r="F1060" i="8" l="1"/>
  <c r="E1059" i="8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B1064" i="4"/>
  <c r="F1064" i="4"/>
  <c r="E1064" i="4"/>
  <c r="D1064" i="4"/>
  <c r="G1064" i="4"/>
  <c r="C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G1065" i="4"/>
  <c r="D1065" i="4"/>
  <c r="B1065" i="4"/>
  <c r="F1065" i="4"/>
  <c r="C1065" i="4"/>
  <c r="E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B1066" i="4"/>
  <c r="G1066" i="4"/>
  <c r="E1066" i="4"/>
  <c r="C1066" i="4"/>
  <c r="D1066" i="4"/>
  <c r="F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F1067" i="4"/>
  <c r="D1067" i="4"/>
  <c r="E1067" i="4"/>
  <c r="B1067" i="4"/>
  <c r="G1067" i="4"/>
  <c r="C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E1068" i="4"/>
  <c r="G1068" i="4"/>
  <c r="D1068" i="4"/>
  <c r="B1068" i="4"/>
  <c r="F1068" i="4"/>
  <c r="C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G1069" i="4"/>
  <c r="B1069" i="4"/>
  <c r="E1069" i="4"/>
  <c r="C1069" i="4"/>
  <c r="F1069" i="4"/>
  <c r="D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G1070" i="4"/>
  <c r="B1070" i="4"/>
  <c r="C1070" i="4"/>
  <c r="F1070" i="4"/>
  <c r="E1070" i="4"/>
  <c r="D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C1071" i="4"/>
  <c r="G1071" i="4"/>
  <c r="B1071" i="4"/>
  <c r="F1071" i="4"/>
  <c r="D1071" i="4"/>
  <c r="E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B1072" i="4"/>
  <c r="F1072" i="4"/>
  <c r="C1072" i="4"/>
  <c r="G1072" i="4"/>
  <c r="E1072" i="4"/>
  <c r="D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F1073" i="4"/>
  <c r="B1073" i="4"/>
  <c r="D1073" i="4"/>
  <c r="C1073" i="4"/>
  <c r="E1073" i="4"/>
  <c r="G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F1074" i="4"/>
  <c r="C1074" i="4"/>
  <c r="G1074" i="4"/>
  <c r="B1074" i="4"/>
  <c r="D1074" i="4"/>
  <c r="E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B1075" i="4"/>
  <c r="E1075" i="4"/>
  <c r="F1075" i="4"/>
  <c r="G1075" i="4"/>
  <c r="D1075" i="4"/>
  <c r="C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G1076" i="4"/>
  <c r="F1076" i="4"/>
  <c r="B1076" i="4"/>
  <c r="C1076" i="4"/>
  <c r="E1076" i="4"/>
  <c r="D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C1077" i="4"/>
  <c r="D1077" i="4"/>
  <c r="G1077" i="4"/>
  <c r="B1077" i="4"/>
  <c r="F1077" i="4"/>
  <c r="E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C1078" i="4"/>
  <c r="F1078" i="4"/>
  <c r="B1078" i="4"/>
  <c r="D1078" i="4"/>
  <c r="E1078" i="4"/>
  <c r="G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F1079" i="4"/>
  <c r="G1079" i="4"/>
  <c r="C1079" i="4"/>
  <c r="D1079" i="4"/>
  <c r="B1079" i="4"/>
  <c r="E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D1080" i="4"/>
  <c r="E1080" i="4"/>
  <c r="B1080" i="4"/>
  <c r="F1080" i="4"/>
  <c r="C1080" i="4"/>
  <c r="G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B1081" i="4"/>
  <c r="C1081" i="4"/>
  <c r="E1081" i="4"/>
  <c r="F1081" i="4"/>
  <c r="G1081" i="4"/>
  <c r="D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G1082" i="4"/>
  <c r="D1082" i="4"/>
  <c r="F1082" i="4"/>
  <c r="E1082" i="4"/>
  <c r="C1082" i="4"/>
  <c r="B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C1083" i="4"/>
  <c r="D1083" i="4"/>
  <c r="F1083" i="4"/>
  <c r="B1083" i="4"/>
  <c r="E1083" i="4"/>
  <c r="G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G1084" i="4"/>
  <c r="B1084" i="4"/>
  <c r="D1084" i="4"/>
  <c r="E1084" i="4"/>
  <c r="C1084" i="4"/>
  <c r="F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F1085" i="4"/>
  <c r="B1085" i="4"/>
  <c r="E1085" i="4"/>
  <c r="G1085" i="4"/>
  <c r="D1085" i="4"/>
  <c r="C1085" i="4"/>
  <c r="B1084" i="6" l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C1084" i="6"/>
  <c r="D1084" i="6" s="1"/>
  <c r="I1085" i="4"/>
  <c r="H1085" i="4"/>
  <c r="A1085" i="6"/>
  <c r="A1086" i="8" s="1"/>
  <c r="F1086" i="4"/>
  <c r="D1086" i="4"/>
  <c r="G1086" i="4"/>
  <c r="B1086" i="4"/>
  <c r="E1086" i="4"/>
  <c r="C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G1087" i="4"/>
  <c r="D1087" i="4"/>
  <c r="E1087" i="4"/>
  <c r="B1087" i="4"/>
  <c r="C1087" i="4"/>
  <c r="F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F1088" i="4"/>
  <c r="C1088" i="4"/>
  <c r="E1088" i="4"/>
  <c r="D1088" i="4"/>
  <c r="B1088" i="4"/>
  <c r="G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D1089" i="4"/>
  <c r="F1089" i="4"/>
  <c r="B1089" i="4"/>
  <c r="G1089" i="4"/>
  <c r="E1089" i="4"/>
  <c r="C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C1090" i="4"/>
  <c r="B1090" i="4"/>
  <c r="D1090" i="4"/>
  <c r="E1090" i="4"/>
  <c r="F1090" i="4"/>
  <c r="G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D1091" i="4"/>
  <c r="C1091" i="4"/>
  <c r="E1091" i="4"/>
  <c r="F1091" i="4"/>
  <c r="B1091" i="4"/>
  <c r="G1091" i="4"/>
  <c r="B1090" i="6" l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G1092" i="4"/>
  <c r="C1092" i="4"/>
  <c r="D1092" i="4"/>
  <c r="E1092" i="4"/>
  <c r="B1092" i="4"/>
  <c r="F1092" i="4"/>
  <c r="C1090" i="6" l="1"/>
  <c r="D1090" i="6" s="1"/>
  <c r="E1090" i="6" s="1"/>
  <c r="F1090" i="6" s="1"/>
  <c r="D1091" i="8" s="1"/>
  <c r="H1088" i="6"/>
  <c r="B1089" i="8" s="1"/>
  <c r="F1089" i="8" s="1"/>
  <c r="K1090" i="8"/>
  <c r="G1089" i="6"/>
  <c r="L1090" i="8" s="1"/>
  <c r="E1089" i="6"/>
  <c r="F1089" i="6" s="1"/>
  <c r="D1090" i="8" s="1"/>
  <c r="F1088" i="8"/>
  <c r="E1088" i="8"/>
  <c r="G1088" i="8" s="1"/>
  <c r="I1092" i="4"/>
  <c r="H1092" i="4"/>
  <c r="A1092" i="6"/>
  <c r="A1093" i="8" s="1"/>
  <c r="B1091" i="6"/>
  <c r="G1093" i="4"/>
  <c r="D1093" i="4"/>
  <c r="F1093" i="4"/>
  <c r="C1093" i="4"/>
  <c r="B1093" i="4"/>
  <c r="E1093" i="4"/>
  <c r="G1090" i="6" l="1"/>
  <c r="L1091" i="8" s="1"/>
  <c r="K1091" i="8"/>
  <c r="E1089" i="8"/>
  <c r="G1089" i="8" s="1"/>
  <c r="H1089" i="6"/>
  <c r="B1090" i="8" s="1"/>
  <c r="C1091" i="6"/>
  <c r="D1091" i="6" s="1"/>
  <c r="I1093" i="4"/>
  <c r="H1093" i="4"/>
  <c r="A1093" i="6"/>
  <c r="A1094" i="8" s="1"/>
  <c r="B1092" i="6"/>
  <c r="G1094" i="4"/>
  <c r="B1094" i="4"/>
  <c r="E1094" i="4"/>
  <c r="C1094" i="4"/>
  <c r="F1094" i="4"/>
  <c r="D1094" i="4"/>
  <c r="H1090" i="6" l="1"/>
  <c r="B1091" i="8" s="1"/>
  <c r="F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E1095" i="4"/>
  <c r="D1095" i="4"/>
  <c r="F1095" i="4"/>
  <c r="G1095" i="4"/>
  <c r="B1095" i="4"/>
  <c r="C1095" i="4"/>
  <c r="E1091" i="8" l="1"/>
  <c r="G1091" i="8" s="1"/>
  <c r="H1091" i="6"/>
  <c r="B1092" i="8" s="1"/>
  <c r="F1092" i="8" s="1"/>
  <c r="B1094" i="6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E1096" i="4"/>
  <c r="G1096" i="4"/>
  <c r="C1096" i="4"/>
  <c r="B1096" i="4"/>
  <c r="F1096" i="4"/>
  <c r="D1096" i="4"/>
  <c r="C1094" i="6" l="1"/>
  <c r="D1094" i="6" s="1"/>
  <c r="K1095" i="8" s="1"/>
  <c r="E1092" i="8"/>
  <c r="G1092" i="8" s="1"/>
  <c r="B1095" i="6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D1097" i="4"/>
  <c r="B1097" i="4"/>
  <c r="G1097" i="4"/>
  <c r="C1097" i="4"/>
  <c r="F1097" i="4"/>
  <c r="E1097" i="4"/>
  <c r="G1094" i="6" l="1"/>
  <c r="L1095" i="8" s="1"/>
  <c r="E1094" i="6"/>
  <c r="F1094" i="6" s="1"/>
  <c r="D1095" i="8" s="1"/>
  <c r="C1095" i="6"/>
  <c r="D1095" i="6" s="1"/>
  <c r="G1095" i="6" s="1"/>
  <c r="L1096" i="8" s="1"/>
  <c r="B1096" i="6"/>
  <c r="H1093" i="6"/>
  <c r="B1094" i="8" s="1"/>
  <c r="F1093" i="8"/>
  <c r="E1093" i="8"/>
  <c r="G1093" i="8" s="1"/>
  <c r="H1097" i="4"/>
  <c r="I1097" i="4"/>
  <c r="A1097" i="6"/>
  <c r="A1098" i="8" s="1"/>
  <c r="D1098" i="4"/>
  <c r="C1098" i="4"/>
  <c r="B1098" i="4"/>
  <c r="E1098" i="4"/>
  <c r="G1098" i="4"/>
  <c r="F1098" i="4"/>
  <c r="H1094" i="6" l="1"/>
  <c r="B1095" i="8" s="1"/>
  <c r="E1095" i="8" s="1"/>
  <c r="G1095" i="8" s="1"/>
  <c r="C1096" i="6"/>
  <c r="D1096" i="6" s="1"/>
  <c r="K1096" i="8"/>
  <c r="E1095" i="6"/>
  <c r="F1095" i="6" s="1"/>
  <c r="D1096" i="8" s="1"/>
  <c r="B1097" i="6"/>
  <c r="F1094" i="8"/>
  <c r="E1094" i="8"/>
  <c r="G1094" i="8" s="1"/>
  <c r="H1095" i="6"/>
  <c r="B1096" i="8" s="1"/>
  <c r="I1098" i="4"/>
  <c r="H1098" i="4"/>
  <c r="A1098" i="6"/>
  <c r="A1099" i="8" s="1"/>
  <c r="E1099" i="4"/>
  <c r="C1099" i="4"/>
  <c r="F1099" i="4"/>
  <c r="D1099" i="4"/>
  <c r="G1099" i="4"/>
  <c r="B1099" i="4"/>
  <c r="F1095" i="8" l="1"/>
  <c r="C1097" i="6"/>
  <c r="D1097" i="6" s="1"/>
  <c r="K1098" i="8" s="1"/>
  <c r="E1096" i="6"/>
  <c r="F1096" i="6" s="1"/>
  <c r="D1097" i="8" s="1"/>
  <c r="G1096" i="6"/>
  <c r="L1097" i="8" s="1"/>
  <c r="K1097" i="8"/>
  <c r="F1096" i="8"/>
  <c r="E1096" i="8"/>
  <c r="G1096" i="8" s="1"/>
  <c r="I1099" i="4"/>
  <c r="H1099" i="4"/>
  <c r="A1099" i="6"/>
  <c r="A1100" i="8" s="1"/>
  <c r="B1098" i="6"/>
  <c r="B1100" i="4"/>
  <c r="C1100" i="4"/>
  <c r="G1100" i="4"/>
  <c r="F1100" i="4"/>
  <c r="D1100" i="4"/>
  <c r="E1100" i="4"/>
  <c r="E1097" i="6" l="1"/>
  <c r="F1097" i="6" s="1"/>
  <c r="D1098" i="8" s="1"/>
  <c r="G1097" i="6"/>
  <c r="L1098" i="8" s="1"/>
  <c r="H1096" i="6"/>
  <c r="B1097" i="8" s="1"/>
  <c r="F1097" i="8" s="1"/>
  <c r="C1098" i="6"/>
  <c r="D1098" i="6" s="1"/>
  <c r="I1100" i="4"/>
  <c r="H1100" i="4"/>
  <c r="A1100" i="6"/>
  <c r="A1101" i="8" s="1"/>
  <c r="B1099" i="6"/>
  <c r="B1101" i="4"/>
  <c r="G1101" i="4"/>
  <c r="D1101" i="4"/>
  <c r="E1101" i="4"/>
  <c r="C1101" i="4"/>
  <c r="F1101" i="4"/>
  <c r="H1097" i="6" l="1"/>
  <c r="B1098" i="8" s="1"/>
  <c r="F1098" i="8" s="1"/>
  <c r="E1097" i="8"/>
  <c r="G1097" i="8" s="1"/>
  <c r="K1099" i="8"/>
  <c r="G1098" i="6"/>
  <c r="L1099" i="8" s="1"/>
  <c r="E1098" i="6"/>
  <c r="F1098" i="6" s="1"/>
  <c r="D1099" i="8" s="1"/>
  <c r="C1099" i="6"/>
  <c r="D1099" i="6" s="1"/>
  <c r="H1101" i="4"/>
  <c r="I1101" i="4"/>
  <c r="A1101" i="6"/>
  <c r="A1102" i="8" s="1"/>
  <c r="B1100" i="6"/>
  <c r="C1102" i="4"/>
  <c r="D1102" i="4"/>
  <c r="F1102" i="4"/>
  <c r="G1102" i="4"/>
  <c r="E1102" i="4"/>
  <c r="B1102" i="4"/>
  <c r="E1098" i="8" l="1"/>
  <c r="G1098" i="8" s="1"/>
  <c r="H1098" i="6"/>
  <c r="B1099" i="8" s="1"/>
  <c r="F1099" i="8" s="1"/>
  <c r="B1101" i="6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B1103" i="4"/>
  <c r="E1103" i="4"/>
  <c r="F1103" i="4"/>
  <c r="C1103" i="4"/>
  <c r="G1103" i="4"/>
  <c r="D1103" i="4"/>
  <c r="C1101" i="6" l="1"/>
  <c r="D1101" i="6" s="1"/>
  <c r="K1102" i="8" s="1"/>
  <c r="E1099" i="8"/>
  <c r="G1099" i="8" s="1"/>
  <c r="B1102" i="6"/>
  <c r="C1102" i="6" s="1"/>
  <c r="D1102" i="6" s="1"/>
  <c r="H1099" i="6"/>
  <c r="B1100" i="8" s="1"/>
  <c r="F1100" i="8" s="1"/>
  <c r="K1101" i="8"/>
  <c r="G1100" i="6"/>
  <c r="L1101" i="8" s="1"/>
  <c r="E1100" i="6"/>
  <c r="F1100" i="6" s="1"/>
  <c r="D1101" i="8" s="1"/>
  <c r="H1103" i="4"/>
  <c r="I1103" i="4"/>
  <c r="A1103" i="6"/>
  <c r="A1104" i="8" s="1"/>
  <c r="C1104" i="4"/>
  <c r="D1104" i="4"/>
  <c r="G1104" i="4"/>
  <c r="F1104" i="4"/>
  <c r="B1104" i="4"/>
  <c r="E1104" i="4"/>
  <c r="E1101" i="6" l="1"/>
  <c r="F1101" i="6" s="1"/>
  <c r="D1102" i="8" s="1"/>
  <c r="G1101" i="6"/>
  <c r="L1102" i="8" s="1"/>
  <c r="B1103" i="6"/>
  <c r="E1100" i="8"/>
  <c r="G1100" i="8" s="1"/>
  <c r="K1103" i="8"/>
  <c r="G1102" i="6"/>
  <c r="L1103" i="8" s="1"/>
  <c r="E1102" i="6"/>
  <c r="F1102" i="6" s="1"/>
  <c r="D1103" i="8" s="1"/>
  <c r="H1100" i="6"/>
  <c r="B1101" i="8" s="1"/>
  <c r="H1104" i="4"/>
  <c r="I1104" i="4"/>
  <c r="A1104" i="6"/>
  <c r="A1105" i="8" s="1"/>
  <c r="H1101" i="6" l="1"/>
  <c r="B1102" i="8" s="1"/>
  <c r="E1102" i="8" s="1"/>
  <c r="G1102" i="8" s="1"/>
  <c r="C1103" i="6"/>
  <c r="D1103" i="6" s="1"/>
  <c r="K1104" i="8" s="1"/>
  <c r="B1104" i="6"/>
  <c r="H1102" i="6"/>
  <c r="B1103" i="8" s="1"/>
  <c r="F1101" i="8"/>
  <c r="E1101" i="8"/>
  <c r="G1101" i="8" s="1"/>
  <c r="A1105" i="6"/>
  <c r="A1106" i="8" s="1"/>
  <c r="F1102" i="8" l="1"/>
  <c r="E1103" i="6"/>
  <c r="F1103" i="6" s="1"/>
  <c r="D1104" i="8" s="1"/>
  <c r="C1104" i="6"/>
  <c r="D1104" i="6" s="1"/>
  <c r="G1104" i="6" s="1"/>
  <c r="L1105" i="8" s="1"/>
  <c r="G1103" i="6"/>
  <c r="L1104" i="8" s="1"/>
  <c r="F1103" i="8"/>
  <c r="E1103" i="8"/>
  <c r="G1103" i="8" s="1"/>
  <c r="B1105" i="6"/>
  <c r="C1143" i="6" l="1"/>
  <c r="D1143" i="6" s="1"/>
  <c r="C1146" i="6"/>
  <c r="D1146" i="6" s="1"/>
  <c r="E1166" i="6" s="1"/>
  <c r="F1166" i="6" s="1"/>
  <c r="D1167" i="8" s="1"/>
  <c r="E1167" i="8" s="1"/>
  <c r="C1145" i="6"/>
  <c r="D1145" i="6" s="1"/>
  <c r="E1165" i="6" s="1"/>
  <c r="F1165" i="6" s="1"/>
  <c r="D1166" i="8" s="1"/>
  <c r="E1166" i="8" s="1"/>
  <c r="C1144" i="6"/>
  <c r="D1144" i="6" s="1"/>
  <c r="E1164" i="6" s="1"/>
  <c r="F1164" i="6" s="1"/>
  <c r="D1165" i="8" s="1"/>
  <c r="E1165" i="8" s="1"/>
  <c r="E1104" i="6"/>
  <c r="F1104" i="6" s="1"/>
  <c r="D1105" i="8" s="1"/>
  <c r="H1103" i="6"/>
  <c r="B1104" i="8" s="1"/>
  <c r="F1104" i="8" s="1"/>
  <c r="C1140" i="6"/>
  <c r="D1140" i="6" s="1"/>
  <c r="C1142" i="6"/>
  <c r="D1142" i="6" s="1"/>
  <c r="K1105" i="8"/>
  <c r="C1141" i="6"/>
  <c r="D1141" i="6" s="1"/>
  <c r="C1138" i="6"/>
  <c r="D1138" i="6" s="1"/>
  <c r="C1139" i="6"/>
  <c r="D1139" i="6" s="1"/>
  <c r="C1136" i="6"/>
  <c r="D1136" i="6" s="1"/>
  <c r="C1137" i="6"/>
  <c r="D1137" i="6" s="1"/>
  <c r="C1134" i="6"/>
  <c r="D1134" i="6" s="1"/>
  <c r="C1135" i="6"/>
  <c r="D1135" i="6" s="1"/>
  <c r="C1132" i="6"/>
  <c r="D1132" i="6" s="1"/>
  <c r="C1133" i="6"/>
  <c r="D1133" i="6" s="1"/>
  <c r="C1130" i="6"/>
  <c r="D1130" i="6" s="1"/>
  <c r="C1131" i="6"/>
  <c r="D1131" i="6" s="1"/>
  <c r="C1128" i="6"/>
  <c r="D1128" i="6" s="1"/>
  <c r="C1129" i="6"/>
  <c r="D1129" i="6" s="1"/>
  <c r="C1126" i="6"/>
  <c r="D1126" i="6" s="1"/>
  <c r="C1127" i="6"/>
  <c r="D1127" i="6" s="1"/>
  <c r="C1124" i="6"/>
  <c r="D1124" i="6" s="1"/>
  <c r="C1125" i="6"/>
  <c r="D1125" i="6" s="1"/>
  <c r="C1122" i="6"/>
  <c r="D1122" i="6" s="1"/>
  <c r="C1123" i="6"/>
  <c r="D1123" i="6" s="1"/>
  <c r="C1120" i="6"/>
  <c r="D1120" i="6" s="1"/>
  <c r="C1121" i="6"/>
  <c r="D1121" i="6" s="1"/>
  <c r="C1118" i="6"/>
  <c r="D1118" i="6" s="1"/>
  <c r="C1119" i="6"/>
  <c r="D1119" i="6" s="1"/>
  <c r="C1116" i="6"/>
  <c r="D1116" i="6" s="1"/>
  <c r="C1117" i="6"/>
  <c r="D1117" i="6" s="1"/>
  <c r="C1114" i="6"/>
  <c r="D1114" i="6" s="1"/>
  <c r="C1115" i="6"/>
  <c r="D1115" i="6" s="1"/>
  <c r="C1112" i="6"/>
  <c r="D1112" i="6" s="1"/>
  <c r="C1113" i="6"/>
  <c r="D1113" i="6" s="1"/>
  <c r="C1110" i="6"/>
  <c r="D1110" i="6" s="1"/>
  <c r="C1111" i="6"/>
  <c r="D1111" i="6" s="1"/>
  <c r="C1108" i="6"/>
  <c r="D1108" i="6" s="1"/>
  <c r="C1109" i="6"/>
  <c r="D1109" i="6" s="1"/>
  <c r="C1106" i="6"/>
  <c r="D1106" i="6" s="1"/>
  <c r="C1107" i="6"/>
  <c r="D1107" i="6" s="1"/>
  <c r="H1104" i="6"/>
  <c r="B1105" i="8" s="1"/>
  <c r="F1105" i="8" s="1"/>
  <c r="C1105" i="6"/>
  <c r="D1105" i="6" s="1"/>
  <c r="E1163" i="6" l="1"/>
  <c r="F1163" i="6" s="1"/>
  <c r="D1164" i="8" s="1"/>
  <c r="E1164" i="8" s="1"/>
  <c r="E1162" i="6"/>
  <c r="F1162" i="6" s="1"/>
  <c r="D1163" i="8" s="1"/>
  <c r="E1163" i="8" s="1"/>
  <c r="E1160" i="6"/>
  <c r="F1160" i="6" s="1"/>
  <c r="D1161" i="8" s="1"/>
  <c r="E1161" i="8" s="1"/>
  <c r="E1159" i="6"/>
  <c r="F1159" i="6" s="1"/>
  <c r="D1160" i="8" s="1"/>
  <c r="E1161" i="6"/>
  <c r="F1161" i="6" s="1"/>
  <c r="D1162" i="8" s="1"/>
  <c r="E1162" i="8" s="1"/>
  <c r="K1147" i="8"/>
  <c r="G1159" i="6"/>
  <c r="E1158" i="6"/>
  <c r="F1158" i="6" s="1"/>
  <c r="D1159" i="8" s="1"/>
  <c r="K1146" i="8"/>
  <c r="G1158" i="6"/>
  <c r="E1157" i="6"/>
  <c r="F1157" i="6" s="1"/>
  <c r="D1158" i="8" s="1"/>
  <c r="E1156" i="6"/>
  <c r="F1156" i="6" s="1"/>
  <c r="D1157" i="8" s="1"/>
  <c r="K1145" i="8"/>
  <c r="G1157" i="6"/>
  <c r="K1144" i="8"/>
  <c r="G1156" i="6"/>
  <c r="E1155" i="6"/>
  <c r="F1155" i="6" s="1"/>
  <c r="D1156" i="8" s="1"/>
  <c r="K1143" i="8"/>
  <c r="G1155" i="6"/>
  <c r="E1154" i="6"/>
  <c r="F1154" i="6" s="1"/>
  <c r="D1155" i="8" s="1"/>
  <c r="K1142" i="8"/>
  <c r="G1154" i="6"/>
  <c r="K1141" i="8"/>
  <c r="G1153" i="6"/>
  <c r="K1134" i="8"/>
  <c r="E1153" i="6"/>
  <c r="F1153" i="6" s="1"/>
  <c r="D1154" i="8" s="1"/>
  <c r="E1152" i="6"/>
  <c r="F1152" i="6" s="1"/>
  <c r="D1153" i="8" s="1"/>
  <c r="K1140" i="8"/>
  <c r="G1152" i="6"/>
  <c r="E1151" i="6"/>
  <c r="F1151" i="6" s="1"/>
  <c r="D1152" i="8" s="1"/>
  <c r="K1139" i="8"/>
  <c r="G1151" i="6"/>
  <c r="K1138" i="8"/>
  <c r="G1150" i="6"/>
  <c r="K1131" i="8"/>
  <c r="E1150" i="6"/>
  <c r="F1150" i="6" s="1"/>
  <c r="D1151" i="8" s="1"/>
  <c r="E1149" i="6"/>
  <c r="F1149" i="6" s="1"/>
  <c r="D1150" i="8" s="1"/>
  <c r="K1137" i="8"/>
  <c r="G1149" i="6"/>
  <c r="E1148" i="6"/>
  <c r="F1148" i="6" s="1"/>
  <c r="D1149" i="8" s="1"/>
  <c r="K1136" i="8"/>
  <c r="G1148" i="6"/>
  <c r="E1147" i="6"/>
  <c r="F1147" i="6" s="1"/>
  <c r="D1148" i="8" s="1"/>
  <c r="K1135" i="8"/>
  <c r="G1147" i="6"/>
  <c r="E1146" i="6"/>
  <c r="F1146" i="6" s="1"/>
  <c r="D1147" i="8" s="1"/>
  <c r="E1145" i="6"/>
  <c r="F1145" i="6" s="1"/>
  <c r="D1146" i="8" s="1"/>
  <c r="G1146" i="6"/>
  <c r="K1133" i="8"/>
  <c r="G1145" i="6"/>
  <c r="E1144" i="6"/>
  <c r="F1144" i="6" s="1"/>
  <c r="D1145" i="8" s="1"/>
  <c r="K1132" i="8"/>
  <c r="G1144" i="6"/>
  <c r="E1104" i="8"/>
  <c r="G1104" i="8" s="1"/>
  <c r="E1143" i="6"/>
  <c r="F1143" i="6" s="1"/>
  <c r="D1144" i="8" s="1"/>
  <c r="G1143" i="6"/>
  <c r="E1142" i="6"/>
  <c r="F1142" i="6" s="1"/>
  <c r="D1143" i="8" s="1"/>
  <c r="K1130" i="8"/>
  <c r="G1142" i="6"/>
  <c r="E1141" i="6"/>
  <c r="F1141" i="6" s="1"/>
  <c r="D1142" i="8" s="1"/>
  <c r="K1129" i="8"/>
  <c r="G1141" i="6"/>
  <c r="E1140" i="6"/>
  <c r="F1140" i="6" s="1"/>
  <c r="D1141" i="8" s="1"/>
  <c r="K1128" i="8"/>
  <c r="G1140" i="6"/>
  <c r="E1139" i="6"/>
  <c r="F1139" i="6" s="1"/>
  <c r="D1140" i="8" s="1"/>
  <c r="K1127" i="8"/>
  <c r="G1139" i="6"/>
  <c r="E1137" i="6"/>
  <c r="F1137" i="6" s="1"/>
  <c r="D1138" i="8" s="1"/>
  <c r="E1138" i="6"/>
  <c r="F1138" i="6" s="1"/>
  <c r="D1139" i="8" s="1"/>
  <c r="K1126" i="8"/>
  <c r="G1138" i="6"/>
  <c r="K1125" i="8"/>
  <c r="G1137" i="6"/>
  <c r="G1132" i="6"/>
  <c r="H1132" i="6" s="1"/>
  <c r="B1133" i="8" s="1"/>
  <c r="E1136" i="6"/>
  <c r="F1136" i="6" s="1"/>
  <c r="D1137" i="8" s="1"/>
  <c r="K1124" i="8"/>
  <c r="G1136" i="6"/>
  <c r="G1128" i="6"/>
  <c r="H1128" i="6" s="1"/>
  <c r="B1129" i="8" s="1"/>
  <c r="E1135" i="6"/>
  <c r="F1135" i="6" s="1"/>
  <c r="D1136" i="8" s="1"/>
  <c r="K1123" i="8"/>
  <c r="G1135" i="6"/>
  <c r="E1134" i="6"/>
  <c r="F1134" i="6" s="1"/>
  <c r="D1135" i="8" s="1"/>
  <c r="K1122" i="8"/>
  <c r="G1134" i="6"/>
  <c r="K1121" i="8"/>
  <c r="G1133" i="6"/>
  <c r="G1126" i="6"/>
  <c r="L1127" i="8" s="1"/>
  <c r="E1133" i="6"/>
  <c r="F1133" i="6" s="1"/>
  <c r="D1134" i="8" s="1"/>
  <c r="G1130" i="6"/>
  <c r="H1130" i="6" s="1"/>
  <c r="B1131" i="8" s="1"/>
  <c r="E1132" i="6"/>
  <c r="F1132" i="6" s="1"/>
  <c r="D1133" i="8" s="1"/>
  <c r="G1129" i="6"/>
  <c r="L1130" i="8" s="1"/>
  <c r="E1131" i="6"/>
  <c r="F1131" i="6" s="1"/>
  <c r="D1132" i="8" s="1"/>
  <c r="K1119" i="8"/>
  <c r="G1131" i="6"/>
  <c r="E1130" i="6"/>
  <c r="F1130" i="6" s="1"/>
  <c r="D1131" i="8" s="1"/>
  <c r="E1129" i="6"/>
  <c r="F1129" i="6" s="1"/>
  <c r="D1130" i="8" s="1"/>
  <c r="K1109" i="8"/>
  <c r="E1128" i="6"/>
  <c r="F1128" i="6" s="1"/>
  <c r="D1129" i="8" s="1"/>
  <c r="E1127" i="6"/>
  <c r="F1127" i="6" s="1"/>
  <c r="D1128" i="8" s="1"/>
  <c r="K1115" i="8"/>
  <c r="G1127" i="6"/>
  <c r="G1120" i="6"/>
  <c r="H1120" i="6" s="1"/>
  <c r="B1121" i="8" s="1"/>
  <c r="E1126" i="6"/>
  <c r="F1126" i="6" s="1"/>
  <c r="D1127" i="8" s="1"/>
  <c r="G1124" i="6"/>
  <c r="H1124" i="6" s="1"/>
  <c r="B1125" i="8" s="1"/>
  <c r="E1125" i="6"/>
  <c r="F1125" i="6" s="1"/>
  <c r="D1126" i="8" s="1"/>
  <c r="K1113" i="8"/>
  <c r="G1125" i="6"/>
  <c r="E1124" i="6"/>
  <c r="F1124" i="6" s="1"/>
  <c r="D1125" i="8" s="1"/>
  <c r="E1123" i="6"/>
  <c r="F1123" i="6" s="1"/>
  <c r="D1124" i="8" s="1"/>
  <c r="K1111" i="8"/>
  <c r="G1123" i="6"/>
  <c r="E1122" i="6"/>
  <c r="F1122" i="6" s="1"/>
  <c r="D1123" i="8" s="1"/>
  <c r="K1110" i="8"/>
  <c r="G1122" i="6"/>
  <c r="G1121" i="6"/>
  <c r="L1122" i="8" s="1"/>
  <c r="E1121" i="6"/>
  <c r="F1121" i="6" s="1"/>
  <c r="D1122" i="8" s="1"/>
  <c r="E1120" i="6"/>
  <c r="F1120" i="6" s="1"/>
  <c r="D1121" i="8" s="1"/>
  <c r="G1118" i="6"/>
  <c r="L1119" i="8" s="1"/>
  <c r="K1120" i="8"/>
  <c r="E1119" i="6"/>
  <c r="F1119" i="6" s="1"/>
  <c r="D1120" i="8" s="1"/>
  <c r="G1106" i="6"/>
  <c r="L1107" i="8" s="1"/>
  <c r="G1119" i="6"/>
  <c r="E1118" i="6"/>
  <c r="F1118" i="6" s="1"/>
  <c r="D1119" i="8" s="1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H1159" i="6" l="1"/>
  <c r="B1160" i="8" s="1"/>
  <c r="E1160" i="8" s="1"/>
  <c r="L1160" i="8"/>
  <c r="H1158" i="6"/>
  <c r="B1159" i="8" s="1"/>
  <c r="E1159" i="8" s="1"/>
  <c r="L1159" i="8"/>
  <c r="H1156" i="6"/>
  <c r="B1157" i="8" s="1"/>
  <c r="E1157" i="8" s="1"/>
  <c r="L1157" i="8"/>
  <c r="H1157" i="6"/>
  <c r="B1158" i="8" s="1"/>
  <c r="E1158" i="8" s="1"/>
  <c r="L1158" i="8"/>
  <c r="H1155" i="6"/>
  <c r="B1156" i="8" s="1"/>
  <c r="E1156" i="8" s="1"/>
  <c r="L1156" i="8"/>
  <c r="H1154" i="6"/>
  <c r="B1155" i="8" s="1"/>
  <c r="E1155" i="8" s="1"/>
  <c r="L1155" i="8"/>
  <c r="H1153" i="6"/>
  <c r="B1154" i="8" s="1"/>
  <c r="E1154" i="8" s="1"/>
  <c r="L1154" i="8"/>
  <c r="L1153" i="8"/>
  <c r="H1152" i="6"/>
  <c r="B1153" i="8" s="1"/>
  <c r="E1153" i="8" s="1"/>
  <c r="H1151" i="6"/>
  <c r="B1152" i="8" s="1"/>
  <c r="E1152" i="8" s="1"/>
  <c r="L1152" i="8"/>
  <c r="H1150" i="6"/>
  <c r="B1151" i="8" s="1"/>
  <c r="E1151" i="8" s="1"/>
  <c r="L1151" i="8"/>
  <c r="H1149" i="6"/>
  <c r="B1150" i="8" s="1"/>
  <c r="E1150" i="8" s="1"/>
  <c r="L1150" i="8"/>
  <c r="L1149" i="8"/>
  <c r="H1148" i="6"/>
  <c r="B1149" i="8" s="1"/>
  <c r="E1149" i="8" s="1"/>
  <c r="H1147" i="6"/>
  <c r="B1148" i="8" s="1"/>
  <c r="E1148" i="8" s="1"/>
  <c r="L1148" i="8"/>
  <c r="H1146" i="6"/>
  <c r="B1147" i="8" s="1"/>
  <c r="E1147" i="8" s="1"/>
  <c r="L1147" i="8"/>
  <c r="L1146" i="8"/>
  <c r="H1145" i="6"/>
  <c r="B1146" i="8" s="1"/>
  <c r="E1146" i="8" s="1"/>
  <c r="L1145" i="8"/>
  <c r="H1144" i="6"/>
  <c r="B1145" i="8" s="1"/>
  <c r="E1145" i="8" s="1"/>
  <c r="H1143" i="6"/>
  <c r="B1144" i="8" s="1"/>
  <c r="E1144" i="8" s="1"/>
  <c r="L1144" i="8"/>
  <c r="H1142" i="6"/>
  <c r="B1143" i="8" s="1"/>
  <c r="E1143" i="8" s="1"/>
  <c r="L1143" i="8"/>
  <c r="L1133" i="8"/>
  <c r="H1141" i="6"/>
  <c r="B1142" i="8" s="1"/>
  <c r="E1142" i="8" s="1"/>
  <c r="L1142" i="8"/>
  <c r="H1140" i="6"/>
  <c r="B1141" i="8" s="1"/>
  <c r="E1141" i="8" s="1"/>
  <c r="L1141" i="8"/>
  <c r="L1140" i="8"/>
  <c r="H1139" i="6"/>
  <c r="B1140" i="8" s="1"/>
  <c r="E1140" i="8" s="1"/>
  <c r="H1138" i="6"/>
  <c r="B1139" i="8" s="1"/>
  <c r="E1139" i="8" s="1"/>
  <c r="L1139" i="8"/>
  <c r="L1138" i="8"/>
  <c r="H1137" i="6"/>
  <c r="B1138" i="8" s="1"/>
  <c r="E1138" i="8" s="1"/>
  <c r="L1137" i="8"/>
  <c r="H1136" i="6"/>
  <c r="B1137" i="8" s="1"/>
  <c r="E1137" i="8" s="1"/>
  <c r="L1129" i="8"/>
  <c r="H1135" i="6"/>
  <c r="B1136" i="8" s="1"/>
  <c r="E1136" i="8" s="1"/>
  <c r="L1136" i="8"/>
  <c r="H1126" i="6"/>
  <c r="B1127" i="8" s="1"/>
  <c r="E1127" i="8" s="1"/>
  <c r="L1131" i="8"/>
  <c r="H1129" i="6"/>
  <c r="B1130" i="8" s="1"/>
  <c r="E1130" i="8" s="1"/>
  <c r="H1134" i="6"/>
  <c r="B1135" i="8" s="1"/>
  <c r="E1135" i="8" s="1"/>
  <c r="L1135" i="8"/>
  <c r="L1134" i="8"/>
  <c r="H1133" i="6"/>
  <c r="B1134" i="8" s="1"/>
  <c r="E1134" i="8" s="1"/>
  <c r="E1133" i="8"/>
  <c r="E1131" i="8"/>
  <c r="H1131" i="6"/>
  <c r="B1132" i="8" s="1"/>
  <c r="E1132" i="8" s="1"/>
  <c r="L1132" i="8"/>
  <c r="L1121" i="8"/>
  <c r="E1125" i="8"/>
  <c r="E1129" i="8"/>
  <c r="H1127" i="6"/>
  <c r="B1128" i="8" s="1"/>
  <c r="E1128" i="8" s="1"/>
  <c r="L1128" i="8"/>
  <c r="L1125" i="8"/>
  <c r="H1125" i="6"/>
  <c r="B1126" i="8" s="1"/>
  <c r="E1126" i="8" s="1"/>
  <c r="L1126" i="8"/>
  <c r="H1123" i="6"/>
  <c r="B1124" i="8" s="1"/>
  <c r="E1124" i="8" s="1"/>
  <c r="L1124" i="8"/>
  <c r="L1123" i="8"/>
  <c r="H1122" i="6"/>
  <c r="B1123" i="8" s="1"/>
  <c r="E1123" i="8" s="1"/>
  <c r="H1121" i="6"/>
  <c r="B1122" i="8" s="1"/>
  <c r="E1122" i="8" s="1"/>
  <c r="E1121" i="8"/>
  <c r="H1118" i="6"/>
  <c r="B1119" i="8" s="1"/>
  <c r="E1119" i="8" s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<sst xmlns="http://schemas.openxmlformats.org/spreadsheetml/2006/main" count="147" uniqueCount="111">
  <si>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</si>
  <si>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</si>
  <si>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</si>
  <si>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</si>
  <si>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</si>
  <si>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</si>
  <si>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</si>
  <si>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</si>
  <si>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</si>
  <si>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</si>
  <si>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</si>
  <si>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</si>
  <si>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</si>
  <si>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</si>
  <si>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</si>
  <si>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</si>
  <si>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</si>
  <si>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</si>
  <si>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</si>
  <si>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</si>
  <si>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</si>
  <si>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</si>
  <si>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</si>
  <si>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</si>
  <si>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</si>
  <si>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</si>
  <si>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</si>
  <si>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</si>
  <si>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</si>
  <si>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</si>
  <si>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</si>
  <si>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</si>
  <si>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</si>
  <si>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</si>
  <si>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</si>
  <si>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</si>
  <si>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</si>
  <si>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</si>
  <si>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</si>
  <si>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</si>
  <si>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</si>
  <si>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</si>
  <si>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</si>
  <si>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</si>
  <si>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</si>
  <si>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</si>
  <si>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</si>
  <si>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</si>
  <si>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</si>
  <si>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</si>
  <si>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</si>
  <si>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</si>
  <si>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</si>
  <si>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</si>
  <si>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</si>
  <si>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</si>
  <si>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</si>
  <si>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</si>
  <si>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</si>
  <si>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</si>
  <si>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</si>
  <si>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</si>
  <si>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</si>
  <si>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</si>
  <si>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</si>
  <si>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</si>
  <si>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</si>
  <si>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</si>
  <si>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</si>
  <si>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</si>
  <si>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</si>
  <si>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</si>
  <si>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</si>
  <si>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</si>
  <si>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</si>
  <si>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</si>
  <si>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</si>
  <si>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</si>
  <si>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</si>
  <si>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</si>
  <si>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</si>
  <si>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</si>
  <si>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</si>
  <si>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</si>
  <si>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</si>
  <si>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</si>
  <si>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</si>
  <si>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</si>
  <si>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</si>
  <si>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</si>
  <si>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</si>
  <si>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</si>
  <si>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</si>
  <si>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</si>
  <si>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</si>
  <si>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</si>
  <si>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</si>
  <si>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</si>
  <si>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</si>
  <si>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</si>
  <si>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</si>
  <si>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</si>
  <si>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</si>
  <si>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</si>
  <si>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</si>
  <si>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</si>
  <si>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</si>
  <si>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</si>
  <si>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</si>
  <si>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</si>
  <si>
    <t xml:space="preserve"> 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</si>
</sst>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67"/>
  <sheetViews>
    <sheetView topLeftCell="A1147" workbookViewId="0">
      <selection activeCell="A1122" sqref="A1122:I1167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1" si="50">AVERAGE(B1116:D1116)</f>
        <v>178.81653333333335</v>
      </c>
      <c r="I1116">
        <f t="shared" ref="I1116:I1121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1:9">
      <c r="A1121" s="3">
        <f>信用曲线—价格!A1121</f>
        <v>46203</v>
      </c>
      <c r="B1121" s="1">
        <f>[1]!i_dq_close($B$1,A1121)</f>
        <v>161.02809999999999</v>
      </c>
      <c r="C1121" s="1">
        <f>[1]!i_dq_close($C$1,A1121)</f>
        <v>180.1514</v>
      </c>
      <c r="D1121" s="1">
        <f>[1]!i_dq_close($D$1,A1121)</f>
        <v>195.6782</v>
      </c>
      <c r="E1121" s="1">
        <f>[1]!i_dq_close($E$1,A1121)</f>
        <v>205.40360000000001</v>
      </c>
      <c r="F1121" s="1">
        <f>[1]!i_dq_close($F$1,A1121)</f>
        <v>219.52809999999999</v>
      </c>
      <c r="G1121" s="1">
        <f>[1]!i_dq_close($G$1,A1121)</f>
        <v>232.68039999999999</v>
      </c>
      <c r="H1121">
        <f t="shared" si="50"/>
        <v>178.95256666666668</v>
      </c>
      <c r="I1121">
        <f t="shared" si="51"/>
        <v>219.20403333333331</v>
      </c>
    </row>
    <row r="1122" spans="1:9">
      <c r="A1122" s="3">
        <f>信用曲线—价格!A1122</f>
        <v>46204</v>
      </c>
      <c r="B1122" s="1">
        <f>[1]!i_dq_close($B$1,A1122)</f>
        <v>161.03190000000001</v>
      </c>
      <c r="C1122" s="1">
        <f>[1]!i_dq_close($C$1,A1122)</f>
        <v>180.12389999999999</v>
      </c>
      <c r="D1122" s="1">
        <f>[1]!i_dq_close($D$1,A1122)</f>
        <v>195.59520000000001</v>
      </c>
      <c r="E1122" s="1">
        <f>[1]!i_dq_close($E$1,A1122)</f>
        <v>205.2413</v>
      </c>
      <c r="F1122" s="1">
        <f>[1]!i_dq_close($F$1,A1122)</f>
        <v>219.2835</v>
      </c>
      <c r="G1122" s="1">
        <f>[1]!i_dq_close($G$1,A1122)</f>
        <v>232.42670000000001</v>
      </c>
      <c r="H1122">
        <f t="shared" ref="H1122" si="52">AVERAGE(B1122:D1122)</f>
        <v>178.917</v>
      </c>
      <c r="I1122">
        <f t="shared" ref="I1122" si="53">AVERAGE(E1122:G1122)</f>
        <v>218.98383333333334</v>
      </c>
    </row>
    <row r="1123" spans="1:9">
      <c r="A1123" s="3">
        <f>信用曲线—价格!A1123</f>
        <v>46205</v>
      </c>
      <c r="B1123" s="1">
        <f>[1]!i_dq_close($B$1,A1123)</f>
        <v>161.03710000000001</v>
      </c>
      <c r="C1123" s="1">
        <f>[1]!i_dq_close($C$1,A1123)</f>
        <v>180.1157</v>
      </c>
      <c r="D1123" s="1">
        <f>[1]!i_dq_close($D$1,A1123)</f>
        <v>195.5804</v>
      </c>
      <c r="E1123" s="1">
        <f>[1]!i_dq_close($E$1,A1123)</f>
        <v>205.2705</v>
      </c>
      <c r="F1123" s="1">
        <f>[1]!i_dq_close($F$1,A1123)</f>
        <v>219.31700000000001</v>
      </c>
      <c r="G1123" s="1">
        <f>[1]!i_dq_close($G$1,A1123)</f>
        <v>232.43180000000001</v>
      </c>
      <c r="H1123">
        <f t="shared" ref="H1123:H1159" si="54">AVERAGE(B1123:D1123)</f>
        <v>178.91106666666667</v>
      </c>
      <c r="I1123">
        <f t="shared" ref="I1123:I1159" si="55">AVERAGE(E1123:G1123)</f>
        <v>219.00643333333332</v>
      </c>
    </row>
    <row r="1124" spans="1:9">
      <c r="A1124" s="3">
        <f>信用曲线—价格!A1124</f>
        <v>46206</v>
      </c>
      <c r="B1124" s="1">
        <f>[1]!i_dq_close($B$1,A1124)</f>
        <v>161.0455</v>
      </c>
      <c r="C1124" s="1">
        <f>[1]!i_dq_close($C$1,A1124)</f>
        <v>180.1241</v>
      </c>
      <c r="D1124" s="1">
        <f>[1]!i_dq_close($D$1,A1124)</f>
        <v>195.59790000000001</v>
      </c>
      <c r="E1124" s="1">
        <f>[1]!i_dq_close($E$1,A1124)</f>
        <v>205.25299999999999</v>
      </c>
      <c r="F1124" s="1">
        <f>[1]!i_dq_close($F$1,A1124)</f>
        <v>219.2818</v>
      </c>
      <c r="G1124" s="1">
        <f>[1]!i_dq_close($G$1,A1124)</f>
        <v>232.3826</v>
      </c>
      <c r="H1124">
        <f t="shared" si="54"/>
        <v>178.92250000000001</v>
      </c>
      <c r="I1124">
        <f t="shared" si="55"/>
        <v>218.97246666666669</v>
      </c>
    </row>
    <row r="1125" spans="1:9">
      <c r="A1125" s="3">
        <f>信用曲线—价格!A1125</f>
        <v>46209</v>
      </c>
      <c r="B1125" s="1">
        <f>[1]!i_dq_close($B$1,A1125)</f>
        <v>161.07069999999999</v>
      </c>
      <c r="C1125" s="1">
        <f>[1]!i_dq_close($C$1,A1125)</f>
        <v>180.16229999999999</v>
      </c>
      <c r="D1125" s="1">
        <f>[1]!i_dq_close($D$1,A1125)</f>
        <v>195.6387</v>
      </c>
      <c r="E1125" s="1">
        <f>[1]!i_dq_close($E$1,A1125)</f>
        <v>205.32419999999999</v>
      </c>
      <c r="F1125" s="1">
        <f>[1]!i_dq_close($F$1,A1125)</f>
        <v>219.4179</v>
      </c>
      <c r="G1125" s="1">
        <f>[1]!i_dq_close($G$1,A1125)</f>
        <v>232.57550000000001</v>
      </c>
      <c r="H1125">
        <f t="shared" si="54"/>
        <v>178.95723333333331</v>
      </c>
      <c r="I1125">
        <f t="shared" si="55"/>
        <v>219.10586666666666</v>
      </c>
    </row>
    <row r="1126" spans="1:9">
      <c r="A1126" s="3">
        <f>信用曲线—价格!A1126</f>
        <v>46210</v>
      </c>
      <c r="B1126" s="1">
        <f>[1]!i_dq_close($B$1,A1126)</f>
        <v>161.07910000000001</v>
      </c>
      <c r="C1126" s="1">
        <f>[1]!i_dq_close($C$1,A1126)</f>
        <v>180.16990000000001</v>
      </c>
      <c r="D1126" s="1">
        <f>[1]!i_dq_close($D$1,A1126)</f>
        <v>195.64940000000001</v>
      </c>
      <c r="E1126" s="1">
        <f>[1]!i_dq_close($E$1,A1126)</f>
        <v>205.35810000000001</v>
      </c>
      <c r="F1126" s="1">
        <f>[1]!i_dq_close($F$1,A1126)</f>
        <v>219.48410000000001</v>
      </c>
      <c r="G1126" s="1">
        <f>[1]!i_dq_close($G$1,A1126)</f>
        <v>232.5145</v>
      </c>
      <c r="H1126">
        <f t="shared" si="54"/>
        <v>178.96613333333335</v>
      </c>
      <c r="I1126">
        <f t="shared" si="55"/>
        <v>219.11890000000002</v>
      </c>
    </row>
    <row r="1127" spans="1:9">
      <c r="A1127" s="3">
        <f>信用曲线—价格!A1127</f>
        <v>46211</v>
      </c>
      <c r="B1127" s="1">
        <f>[1]!i_dq_close($B$1,A1127)</f>
        <v>161.08629999999999</v>
      </c>
      <c r="C1127" s="1">
        <f>[1]!i_dq_close($C$1,A1127)</f>
        <v>180.17840000000001</v>
      </c>
      <c r="D1127" s="1">
        <f>[1]!i_dq_close($D$1,A1127)</f>
        <v>195.67320000000001</v>
      </c>
      <c r="E1127" s="1">
        <f>[1]!i_dq_close($E$1,A1127)</f>
        <v>205.3708</v>
      </c>
      <c r="F1127" s="1">
        <f>[1]!i_dq_close($F$1,A1127)</f>
        <v>219.5967</v>
      </c>
      <c r="G1127" s="1">
        <f>[1]!i_dq_close($G$1,A1127)</f>
        <v>232.69049999999999</v>
      </c>
      <c r="H1127">
        <f t="shared" si="54"/>
        <v>178.97929999999999</v>
      </c>
      <c r="I1127">
        <f t="shared" si="55"/>
        <v>219.21933333333331</v>
      </c>
    </row>
    <row r="1128" spans="1:9">
      <c r="A1128" s="3">
        <f>信用曲线—价格!A1128</f>
        <v>46212</v>
      </c>
      <c r="B1128" s="1">
        <f>[1]!i_dq_close($B$1,A1128)</f>
        <v>161.09469999999999</v>
      </c>
      <c r="C1128" s="1">
        <f>[1]!i_dq_close($C$1,A1128)</f>
        <v>180.19759999999999</v>
      </c>
      <c r="D1128" s="1">
        <f>[1]!i_dq_close($D$1,A1128)</f>
        <v>195.69900000000001</v>
      </c>
      <c r="E1128" s="1">
        <f>[1]!i_dq_close($E$1,A1128)</f>
        <v>205.4014</v>
      </c>
      <c r="F1128" s="1">
        <f>[1]!i_dq_close($F$1,A1128)</f>
        <v>219.6985</v>
      </c>
      <c r="G1128" s="1">
        <f>[1]!i_dq_close($G$1,A1128)</f>
        <v>232.64410000000001</v>
      </c>
      <c r="H1128">
        <f t="shared" si="54"/>
        <v>178.99709999999996</v>
      </c>
      <c r="I1128">
        <f t="shared" si="55"/>
        <v>219.24800000000002</v>
      </c>
    </row>
    <row r="1129" spans="1:9">
      <c r="A1129" s="3">
        <f>信用曲线—价格!A1129</f>
        <v>46213</v>
      </c>
      <c r="B1129" s="1">
        <f>[1]!i_dq_close($B$1,A1129)</f>
        <v>161.10069999999999</v>
      </c>
      <c r="C1129" s="1">
        <f>[1]!i_dq_close($C$1,A1129)</f>
        <v>180.21520000000001</v>
      </c>
      <c r="D1129" s="1">
        <f>[1]!i_dq_close($D$1,A1129)</f>
        <v>195.72819999999999</v>
      </c>
      <c r="E1129" s="1">
        <f>[1]!i_dq_close($E$1,A1129)</f>
        <v>205.43379999999999</v>
      </c>
      <c r="F1129" s="1">
        <f>[1]!i_dq_close($F$1,A1129)</f>
        <v>219.79349999999999</v>
      </c>
      <c r="G1129" s="1">
        <f>[1]!i_dq_close($G$1,A1129)</f>
        <v>232.6086</v>
      </c>
      <c r="H1129">
        <f t="shared" si="54"/>
        <v>179.01469999999998</v>
      </c>
      <c r="I1129">
        <f t="shared" si="55"/>
        <v>219.27863333333335</v>
      </c>
    </row>
    <row r="1130" spans="1:9">
      <c r="A1130" s="3">
        <f>信用曲线—价格!A1130</f>
        <v>46216</v>
      </c>
      <c r="B1130" s="1">
        <f>[1]!i_dq_close($B$1,A1130)</f>
        <v>161.1206</v>
      </c>
      <c r="C1130" s="1">
        <f>[1]!i_dq_close($C$1,A1130)</f>
        <v>180.23519999999999</v>
      </c>
      <c r="D1130" s="1">
        <f>[1]!i_dq_close($D$1,A1130)</f>
        <v>195.7294</v>
      </c>
      <c r="E1130" s="1">
        <f>[1]!i_dq_close($E$1,A1130)</f>
        <v>205.50640000000001</v>
      </c>
      <c r="F1130" s="1">
        <f>[1]!i_dq_close($F$1,A1130)</f>
        <v>219.9212</v>
      </c>
      <c r="G1130" s="1">
        <f>[1]!i_dq_close($G$1,A1130)</f>
        <v>232.70349999999999</v>
      </c>
      <c r="H1130">
        <f t="shared" si="54"/>
        <v>179.0284</v>
      </c>
      <c r="I1130">
        <f t="shared" si="55"/>
        <v>219.37703333333332</v>
      </c>
    </row>
    <row r="1131" spans="1:9">
      <c r="A1131" s="3">
        <f>信用曲线—价格!A1131</f>
        <v>46217</v>
      </c>
      <c r="B1131" s="1">
        <f>[1]!i_dq_close($B$1,A1131)</f>
        <v>161.12549999999999</v>
      </c>
      <c r="C1131" s="1">
        <f>[1]!i_dq_close($C$1,A1131)</f>
        <v>180.2431</v>
      </c>
      <c r="D1131" s="1">
        <f>[1]!i_dq_close($D$1,A1131)</f>
        <v>195.72649999999999</v>
      </c>
      <c r="E1131" s="1">
        <f>[1]!i_dq_close($E$1,A1131)</f>
        <v>205.53290000000001</v>
      </c>
      <c r="F1131" s="1">
        <f>[1]!i_dq_close($F$1,A1131)</f>
        <v>219.845</v>
      </c>
      <c r="G1131" s="1">
        <f>[1]!i_dq_close($G$1,A1131)</f>
        <v>232.5558</v>
      </c>
      <c r="H1131">
        <f t="shared" si="54"/>
        <v>179.0317</v>
      </c>
      <c r="I1131">
        <f t="shared" si="55"/>
        <v>219.31123333333335</v>
      </c>
    </row>
    <row r="1132" spans="1:9">
      <c r="A1132" s="3">
        <f>信用曲线—价格!A1132</f>
        <v>46218</v>
      </c>
      <c r="B1132" s="1">
        <f>[1]!i_dq_close($B$1,A1132)</f>
        <v>161.13220000000001</v>
      </c>
      <c r="C1132" s="1">
        <f>[1]!i_dq_close($C$1,A1132)</f>
        <v>180.2586</v>
      </c>
      <c r="D1132" s="1">
        <f>[1]!i_dq_close($D$1,A1132)</f>
        <v>195.7379</v>
      </c>
      <c r="E1132" s="1">
        <f>[1]!i_dq_close($E$1,A1132)</f>
        <v>205.4975</v>
      </c>
      <c r="F1132" s="1">
        <f>[1]!i_dq_close($F$1,A1132)</f>
        <v>219.98500000000001</v>
      </c>
      <c r="G1132" s="1">
        <f>[1]!i_dq_close($G$1,A1132)</f>
        <v>232.7937</v>
      </c>
      <c r="H1132">
        <f t="shared" si="54"/>
        <v>179.0429</v>
      </c>
      <c r="I1132">
        <f t="shared" si="55"/>
        <v>219.4254</v>
      </c>
    </row>
    <row r="1133" spans="1:9">
      <c r="A1133" s="3">
        <f>信用曲线—价格!A1133</f>
        <v>46219</v>
      </c>
      <c r="B1133" s="1">
        <f>[1]!i_dq_close($B$1,A1133)</f>
        <v>161.13810000000001</v>
      </c>
      <c r="C1133" s="1">
        <f>[1]!i_dq_close($C$1,A1133)</f>
        <v>180.2664</v>
      </c>
      <c r="D1133" s="1">
        <f>[1]!i_dq_close($D$1,A1133)</f>
        <v>195.76589999999999</v>
      </c>
      <c r="E1133" s="1">
        <f>[1]!i_dq_close($E$1,A1133)</f>
        <v>205.54320000000001</v>
      </c>
      <c r="F1133" s="1">
        <f>[1]!i_dq_close($F$1,A1133)</f>
        <v>220.04689999999999</v>
      </c>
      <c r="G1133" s="1">
        <f>[1]!i_dq_close($G$1,A1133)</f>
        <v>232.72219999999999</v>
      </c>
      <c r="H1133">
        <f t="shared" si="54"/>
        <v>179.05679999999998</v>
      </c>
      <c r="I1133">
        <f t="shared" si="55"/>
        <v>219.43743333333336</v>
      </c>
    </row>
    <row r="1134" spans="1:9">
      <c r="A1134" s="3">
        <f>信用曲线—价格!A1134</f>
        <v>46220</v>
      </c>
      <c r="B1134" s="1">
        <f>[1]!i_dq_close($B$1,A1134)</f>
        <v>161.14240000000001</v>
      </c>
      <c r="C1134" s="1">
        <f>[1]!i_dq_close($C$1,A1134)</f>
        <v>180.28370000000001</v>
      </c>
      <c r="D1134" s="1">
        <f>[1]!i_dq_close($D$1,A1134)</f>
        <v>195.7867</v>
      </c>
      <c r="E1134" s="1">
        <f>[1]!i_dq_close($E$1,A1134)</f>
        <v>205.5966</v>
      </c>
      <c r="F1134" s="1">
        <f>[1]!i_dq_close($F$1,A1134)</f>
        <v>220.12</v>
      </c>
      <c r="G1134" s="1">
        <f>[1]!i_dq_close($G$1,A1134)</f>
        <v>232.81880000000001</v>
      </c>
      <c r="H1134">
        <f t="shared" si="54"/>
        <v>179.07093333333333</v>
      </c>
      <c r="I1134">
        <f t="shared" si="55"/>
        <v>219.51179999999999</v>
      </c>
    </row>
    <row r="1135" spans="1:9">
      <c r="A1135" s="3">
        <f>信用曲线—价格!A1135</f>
        <v>46223</v>
      </c>
      <c r="B1135" s="1">
        <f>[1]!i_dq_close($B$1,A1135)</f>
        <v>161.16149999999999</v>
      </c>
      <c r="C1135" s="1">
        <f>[1]!i_dq_close($C$1,A1135)</f>
        <v>180.31049999999999</v>
      </c>
      <c r="D1135" s="1">
        <f>[1]!i_dq_close($D$1,A1135)</f>
        <v>195.82390000000001</v>
      </c>
      <c r="E1135" s="1">
        <f>[1]!i_dq_close($E$1,A1135)</f>
        <v>205.61580000000001</v>
      </c>
      <c r="F1135" s="1">
        <f>[1]!i_dq_close($F$1,A1135)</f>
        <v>220.1378</v>
      </c>
      <c r="G1135" s="1">
        <f>[1]!i_dq_close($G$1,A1135)</f>
        <v>232.82230000000001</v>
      </c>
      <c r="H1135">
        <f t="shared" si="54"/>
        <v>179.09863333333331</v>
      </c>
      <c r="I1135">
        <f t="shared" si="55"/>
        <v>219.52530000000002</v>
      </c>
    </row>
    <row r="1136" spans="1:9">
      <c r="A1136" s="3">
        <f>信用曲线—价格!A1136</f>
        <v>46224</v>
      </c>
      <c r="B1136" s="1">
        <f>[1]!i_dq_close($B$1,A1136)</f>
        <v>161.16829999999999</v>
      </c>
      <c r="C1136" s="1">
        <f>[1]!i_dq_close($C$1,A1136)</f>
        <v>180.3201</v>
      </c>
      <c r="D1136" s="1">
        <f>[1]!i_dq_close($D$1,A1136)</f>
        <v>195.82</v>
      </c>
      <c r="E1136" s="1">
        <f>[1]!i_dq_close($E$1,A1136)</f>
        <v>205.55279999999999</v>
      </c>
      <c r="F1136" s="1">
        <f>[1]!i_dq_close($F$1,A1136)</f>
        <v>220.1514</v>
      </c>
      <c r="G1136" s="1">
        <f>[1]!i_dq_close($G$1,A1136)</f>
        <v>233.09180000000001</v>
      </c>
      <c r="H1136">
        <f t="shared" si="54"/>
        <v>179.10279999999997</v>
      </c>
      <c r="I1136">
        <f t="shared" si="55"/>
        <v>219.59866666666667</v>
      </c>
    </row>
    <row r="1137" spans="1:9">
      <c r="A1137" s="3">
        <f>信用曲线—价格!A1137</f>
        <v>46225</v>
      </c>
      <c r="B1137" s="1">
        <f>[1]!i_dq_close($B$1,A1137)</f>
        <v>161.17760000000001</v>
      </c>
      <c r="C1137" s="1">
        <f>[1]!i_dq_close($C$1,A1137)</f>
        <v>180.33330000000001</v>
      </c>
      <c r="D1137" s="1">
        <f>[1]!i_dq_close($D$1,A1137)</f>
        <v>195.8689</v>
      </c>
      <c r="E1137" s="1">
        <f>[1]!i_dq_close($E$1,A1137)</f>
        <v>205.6404</v>
      </c>
      <c r="F1137" s="1">
        <f>[1]!i_dq_close($F$1,A1137)</f>
        <v>220.267</v>
      </c>
      <c r="G1137" s="1">
        <f>[1]!i_dq_close($G$1,A1137)</f>
        <v>233.26689999999999</v>
      </c>
      <c r="H1137">
        <f t="shared" si="54"/>
        <v>179.12659999999997</v>
      </c>
      <c r="I1137">
        <f t="shared" si="55"/>
        <v>219.72476666666668</v>
      </c>
    </row>
    <row r="1138" spans="1:9">
      <c r="A1138" s="3">
        <f>信用曲线—价格!A1138</f>
        <v>46226</v>
      </c>
      <c r="B1138" s="1">
        <f>[1]!i_dq_close($B$1,A1138)</f>
        <v>161.185</v>
      </c>
      <c r="C1138" s="1">
        <f>[1]!i_dq_close($C$1,A1138)</f>
        <v>180.3449</v>
      </c>
      <c r="D1138" s="1">
        <f>[1]!i_dq_close($D$1,A1138)</f>
        <v>195.89429999999999</v>
      </c>
      <c r="E1138" s="1">
        <f>[1]!i_dq_close($E$1,A1138)</f>
        <v>205.66849999999999</v>
      </c>
      <c r="F1138" s="1">
        <f>[1]!i_dq_close($F$1,A1138)</f>
        <v>220.33930000000001</v>
      </c>
      <c r="G1138" s="1">
        <f>[1]!i_dq_close($G$1,A1138)</f>
        <v>233.5027</v>
      </c>
      <c r="H1138">
        <f t="shared" si="54"/>
        <v>179.14139999999998</v>
      </c>
      <c r="I1138">
        <f t="shared" si="55"/>
        <v>219.83683333333332</v>
      </c>
    </row>
    <row r="1139" spans="1:9">
      <c r="A1139" s="3">
        <f>信用曲线—价格!A1139</f>
        <v>46227</v>
      </c>
      <c r="B1139" s="1">
        <f>[1]!i_dq_close($B$1,A1139)</f>
        <v>161.1902</v>
      </c>
      <c r="C1139" s="1">
        <f>[1]!i_dq_close($C$1,A1139)</f>
        <v>180.3459</v>
      </c>
      <c r="D1139" s="1">
        <f>[1]!i_dq_close($D$1,A1139)</f>
        <v>195.90690000000001</v>
      </c>
      <c r="E1139" s="1">
        <f>[1]!i_dq_close($E$1,A1139)</f>
        <v>205.75059999999999</v>
      </c>
      <c r="F1139" s="1">
        <f>[1]!i_dq_close($F$1,A1139)</f>
        <v>220.38640000000001</v>
      </c>
      <c r="G1139" s="1">
        <f>[1]!i_dq_close($G$1,A1139)</f>
        <v>233.5685</v>
      </c>
      <c r="H1139">
        <f t="shared" si="54"/>
        <v>179.14766666666665</v>
      </c>
      <c r="I1139">
        <f t="shared" si="55"/>
        <v>219.90183333333334</v>
      </c>
    </row>
    <row r="1140" spans="1:9">
      <c r="A1140" s="3">
        <f>信用曲线—价格!A1140</f>
        <v>46230</v>
      </c>
      <c r="B1140" s="1">
        <f>[1]!i_dq_close($B$1,A1140)</f>
        <v>161.2088</v>
      </c>
      <c r="C1140" s="1">
        <f>[1]!i_dq_close($C$1,A1140)</f>
        <v>180.36869999999999</v>
      </c>
      <c r="D1140" s="1">
        <f>[1]!i_dq_close($D$1,A1140)</f>
        <v>195.9136</v>
      </c>
      <c r="E1140" s="1">
        <f>[1]!i_dq_close($E$1,A1140)</f>
        <v>205.79230000000001</v>
      </c>
      <c r="F1140" s="1">
        <f>[1]!i_dq_close($F$1,A1140)</f>
        <v>220.40809999999999</v>
      </c>
      <c r="G1140" s="1">
        <f>[1]!i_dq_close($G$1,A1140)</f>
        <v>233.70259999999999</v>
      </c>
      <c r="H1140">
        <f t="shared" si="54"/>
        <v>179.16369999999998</v>
      </c>
      <c r="I1140">
        <f t="shared" si="55"/>
        <v>219.96766666666667</v>
      </c>
    </row>
    <row r="1141" spans="1:9">
      <c r="A1141" s="3">
        <f>信用曲线—价格!A1141</f>
        <v>46231</v>
      </c>
      <c r="B1141" s="1">
        <f>[1]!i_dq_close($B$1,A1141)</f>
        <v>161.21260000000001</v>
      </c>
      <c r="C1141" s="1">
        <f>[1]!i_dq_close($C$1,A1141)</f>
        <v>180.36500000000001</v>
      </c>
      <c r="D1141" s="1">
        <f>[1]!i_dq_close($D$1,A1141)</f>
        <v>195.90209999999999</v>
      </c>
      <c r="E1141" s="1">
        <f>[1]!i_dq_close($E$1,A1141)</f>
        <v>205.7773</v>
      </c>
      <c r="F1141" s="1">
        <f>[1]!i_dq_close($F$1,A1141)</f>
        <v>220.3656</v>
      </c>
      <c r="G1141" s="1">
        <f>[1]!i_dq_close($G$1,A1141)</f>
        <v>233.94880000000001</v>
      </c>
      <c r="H1141">
        <f t="shared" si="54"/>
        <v>179.15989999999999</v>
      </c>
      <c r="I1141">
        <f t="shared" si="55"/>
        <v>220.03056666666666</v>
      </c>
    </row>
    <row r="1142" spans="1:9">
      <c r="A1142" s="3">
        <f>信用曲线—价格!A1142</f>
        <v>46232</v>
      </c>
      <c r="B1142" s="1">
        <f>[1]!i_dq_close($B$1,A1142)</f>
        <v>161.2201</v>
      </c>
      <c r="C1142" s="1">
        <f>[1]!i_dq_close($C$1,A1142)</f>
        <v>180.36680000000001</v>
      </c>
      <c r="D1142" s="1">
        <f>[1]!i_dq_close($D$1,A1142)</f>
        <v>195.9288</v>
      </c>
      <c r="E1142" s="1">
        <f>[1]!i_dq_close($E$1,A1142)</f>
        <v>205.68709999999999</v>
      </c>
      <c r="F1142" s="1">
        <f>[1]!i_dq_close($F$1,A1142)</f>
        <v>220.4203</v>
      </c>
      <c r="G1142" s="1">
        <f>[1]!i_dq_close($G$1,A1142)</f>
        <v>233.88659999999999</v>
      </c>
      <c r="H1142">
        <f t="shared" si="54"/>
        <v>179.17190000000002</v>
      </c>
      <c r="I1142">
        <f t="shared" si="55"/>
        <v>219.99799999999996</v>
      </c>
    </row>
    <row r="1143" spans="1:9">
      <c r="A1143" s="3">
        <f>信用曲线—价格!A1143</f>
        <v>46233</v>
      </c>
      <c r="B1143" s="1">
        <f>[1]!i_dq_close($B$1,A1143)</f>
        <v>161.2253</v>
      </c>
      <c r="C1143" s="1">
        <f>[1]!i_dq_close($C$1,A1143)</f>
        <v>180.36060000000001</v>
      </c>
      <c r="D1143" s="1">
        <f>[1]!i_dq_close($D$1,A1143)</f>
        <v>195.9152</v>
      </c>
      <c r="E1143" s="1">
        <f>[1]!i_dq_close($E$1,A1143)</f>
        <v>205.70310000000001</v>
      </c>
      <c r="F1143" s="1">
        <f>[1]!i_dq_close($F$1,A1143)</f>
        <v>220.45849999999999</v>
      </c>
      <c r="G1143" s="1">
        <f>[1]!i_dq_close($G$1,A1143)</f>
        <v>234.0394</v>
      </c>
      <c r="H1143">
        <f t="shared" si="54"/>
        <v>179.16703333333336</v>
      </c>
      <c r="I1143">
        <f t="shared" si="55"/>
        <v>220.06700000000001</v>
      </c>
    </row>
    <row r="1144" spans="1:9">
      <c r="A1144" s="3">
        <f>信用曲线—价格!A1144</f>
        <v>46234</v>
      </c>
      <c r="B1144" s="1">
        <f>[1]!i_dq_close($B$1,A1144)</f>
        <v>161.23159999999999</v>
      </c>
      <c r="C1144" s="1">
        <f>[1]!i_dq_close($C$1,A1144)</f>
        <v>180.37180000000001</v>
      </c>
      <c r="D1144" s="1">
        <f>[1]!i_dq_close($D$1,A1144)</f>
        <v>195.94630000000001</v>
      </c>
      <c r="E1144" s="1">
        <f>[1]!i_dq_close($E$1,A1144)</f>
        <v>205.7704</v>
      </c>
      <c r="F1144" s="1">
        <f>[1]!i_dq_close($F$1,A1144)</f>
        <v>220.61770000000001</v>
      </c>
      <c r="G1144" s="1">
        <f>[1]!i_dq_close($G$1,A1144)</f>
        <v>234.14609999999999</v>
      </c>
      <c r="H1144">
        <f t="shared" si="54"/>
        <v>179.18323333333333</v>
      </c>
      <c r="I1144">
        <f t="shared" si="55"/>
        <v>220.17806666666669</v>
      </c>
    </row>
    <row r="1145" spans="1:9">
      <c r="A1145" s="3">
        <f>信用曲线—价格!A1145</f>
        <v>46237</v>
      </c>
      <c r="B1145" s="1">
        <f>[1]!i_dq_close($B$1,A1145)</f>
        <v>161.25409999999999</v>
      </c>
      <c r="C1145" s="1">
        <f>[1]!i_dq_close($C$1,A1145)</f>
        <v>180.3956</v>
      </c>
      <c r="D1145" s="1">
        <f>[1]!i_dq_close($D$1,A1145)</f>
        <v>195.98500000000001</v>
      </c>
      <c r="E1145" s="1">
        <f>[1]!i_dq_close($E$1,A1145)</f>
        <v>205.79400000000001</v>
      </c>
      <c r="F1145" s="1">
        <f>[1]!i_dq_close($F$1,A1145)</f>
        <v>220.72819999999999</v>
      </c>
      <c r="G1145" s="1">
        <f>[1]!i_dq_close($G$1,A1145)</f>
        <v>234.2552</v>
      </c>
      <c r="H1145">
        <f t="shared" si="54"/>
        <v>179.2115666666667</v>
      </c>
      <c r="I1145">
        <f t="shared" si="55"/>
        <v>220.25913333333332</v>
      </c>
    </row>
    <row r="1146" spans="1:9">
      <c r="A1146" s="3">
        <f>信用曲线—价格!A1146</f>
        <v>46238</v>
      </c>
      <c r="B1146" s="1">
        <f>[1]!i_dq_close($B$1,A1146)</f>
        <v>161.26240000000001</v>
      </c>
      <c r="C1146" s="1">
        <f>[1]!i_dq_close($C$1,A1146)</f>
        <v>180.40450000000001</v>
      </c>
      <c r="D1146" s="1">
        <f>[1]!i_dq_close($D$1,A1146)</f>
        <v>196.0077</v>
      </c>
      <c r="E1146" s="1">
        <f>[1]!i_dq_close($E$1,A1146)</f>
        <v>205.7756</v>
      </c>
      <c r="F1146" s="1">
        <f>[1]!i_dq_close($F$1,A1146)</f>
        <v>220.67570000000001</v>
      </c>
      <c r="G1146" s="1">
        <f>[1]!i_dq_close($G$1,A1146)</f>
        <v>234.17769999999999</v>
      </c>
      <c r="H1146">
        <f t="shared" si="54"/>
        <v>179.22486666666668</v>
      </c>
      <c r="I1146">
        <f t="shared" si="55"/>
        <v>220.20966666666666</v>
      </c>
    </row>
    <row r="1147" spans="1:9">
      <c r="A1147" s="3">
        <f>信用曲线—价格!A1147</f>
        <v>46239</v>
      </c>
      <c r="B1147" s="1">
        <f>[1]!i_dq_close($B$1,A1147)</f>
        <v>161.2696</v>
      </c>
      <c r="C1147" s="1">
        <f>[1]!i_dq_close($C$1,A1147)</f>
        <v>180.42189999999999</v>
      </c>
      <c r="D1147" s="1">
        <f>[1]!i_dq_close($D$1,A1147)</f>
        <v>196.04040000000001</v>
      </c>
      <c r="E1147" s="1">
        <f>[1]!i_dq_close($E$1,A1147)</f>
        <v>205.77250000000001</v>
      </c>
      <c r="F1147" s="1">
        <f>[1]!i_dq_close($F$1,A1147)</f>
        <v>220.7336</v>
      </c>
      <c r="G1147" s="1">
        <f>[1]!i_dq_close($G$1,A1147)</f>
        <v>234.2542</v>
      </c>
      <c r="H1147">
        <f t="shared" si="54"/>
        <v>179.24396666666667</v>
      </c>
      <c r="I1147">
        <f t="shared" si="55"/>
        <v>220.25343333333333</v>
      </c>
    </row>
    <row r="1148" spans="1:9">
      <c r="A1148" s="3">
        <f>信用曲线—价格!A1148</f>
        <v>46240</v>
      </c>
      <c r="B1148" s="1">
        <f>[1]!i_dq_close($B$1,A1148)</f>
        <v>161.27799999999999</v>
      </c>
      <c r="C1148" s="1">
        <f>[1]!i_dq_close($C$1,A1148)</f>
        <v>180.42930000000001</v>
      </c>
      <c r="D1148" s="1">
        <f>[1]!i_dq_close($D$1,A1148)</f>
        <v>196.06379999999999</v>
      </c>
      <c r="E1148" s="1">
        <f>[1]!i_dq_close($E$1,A1148)</f>
        <v>205.8219</v>
      </c>
      <c r="F1148" s="1">
        <f>[1]!i_dq_close($F$1,A1148)</f>
        <v>220.84129999999999</v>
      </c>
      <c r="G1148" s="1">
        <f>[1]!i_dq_close($G$1,A1148)</f>
        <v>234.5103</v>
      </c>
      <c r="H1148">
        <f t="shared" si="54"/>
        <v>179.25703333333334</v>
      </c>
      <c r="I1148">
        <f t="shared" si="55"/>
        <v>220.39116666666666</v>
      </c>
    </row>
    <row r="1149" spans="1:9">
      <c r="A1149" s="3">
        <f>信用曲线—价格!A1149</f>
        <v>46241</v>
      </c>
      <c r="B1149" s="1">
        <f>[1]!i_dq_close($B$1,A1149)</f>
        <v>161.28550000000001</v>
      </c>
      <c r="C1149" s="1">
        <f>[1]!i_dq_close($C$1,A1149)</f>
        <v>180.4469</v>
      </c>
      <c r="D1149" s="1">
        <f>[1]!i_dq_close($D$1,A1149)</f>
        <v>196.09800000000001</v>
      </c>
      <c r="E1149" s="1">
        <f>[1]!i_dq_close($E$1,A1149)</f>
        <v>205.8673</v>
      </c>
      <c r="F1149" s="1">
        <f>[1]!i_dq_close($F$1,A1149)</f>
        <v>220.85120000000001</v>
      </c>
      <c r="G1149" s="1">
        <f>[1]!i_dq_close($G$1,A1149)</f>
        <v>234.81200000000001</v>
      </c>
      <c r="H1149">
        <f t="shared" si="54"/>
        <v>179.27680000000001</v>
      </c>
      <c r="I1149">
        <f t="shared" si="55"/>
        <v>220.51016666666669</v>
      </c>
    </row>
    <row r="1150" spans="1:9">
      <c r="A1150" s="3">
        <f>信用曲线—价格!A1150</f>
        <v>46244</v>
      </c>
      <c r="B1150" s="1">
        <f>[1]!i_dq_close($B$1,A1150)</f>
        <v>161.3073</v>
      </c>
      <c r="C1150" s="1">
        <f>[1]!i_dq_close($C$1,A1150)</f>
        <v>180.48609999999999</v>
      </c>
      <c r="D1150" s="1">
        <f>[1]!i_dq_close($D$1,A1150)</f>
        <v>196.16069999999999</v>
      </c>
      <c r="E1150" s="1">
        <f>[1]!i_dq_close($E$1,A1150)</f>
        <v>205.858</v>
      </c>
      <c r="F1150" s="1">
        <f>[1]!i_dq_close($F$1,A1150)</f>
        <v>221.07509999999999</v>
      </c>
      <c r="G1150" s="1">
        <f>[1]!i_dq_close($G$1,A1150)</f>
        <v>235.1311</v>
      </c>
      <c r="H1150">
        <f t="shared" si="54"/>
        <v>179.31803333333335</v>
      </c>
      <c r="I1150">
        <f t="shared" si="55"/>
        <v>220.68806666666669</v>
      </c>
    </row>
    <row r="1151" spans="1:9">
      <c r="A1151" s="3">
        <f>信用曲线—价格!A1151</f>
        <v>46245</v>
      </c>
      <c r="B1151" s="1">
        <f>[1]!i_dq_close($B$1,A1151)</f>
        <v>161.31489999999999</v>
      </c>
      <c r="C1151" s="1">
        <f>[1]!i_dq_close($C$1,A1151)</f>
        <v>180.5001</v>
      </c>
      <c r="D1151" s="1">
        <f>[1]!i_dq_close($D$1,A1151)</f>
        <v>196.1832</v>
      </c>
      <c r="E1151" s="1">
        <f>[1]!i_dq_close($E$1,A1151)</f>
        <v>205.8434</v>
      </c>
      <c r="F1151" s="1">
        <f>[1]!i_dq_close($F$1,A1151)</f>
        <v>221.0917</v>
      </c>
      <c r="G1151" s="1">
        <f>[1]!i_dq_close($G$1,A1151)</f>
        <v>235.30260000000001</v>
      </c>
      <c r="H1151">
        <f t="shared" si="54"/>
        <v>179.33273333333332</v>
      </c>
      <c r="I1151">
        <f t="shared" si="55"/>
        <v>220.74590000000001</v>
      </c>
    </row>
    <row r="1152" spans="1:9">
      <c r="A1152" s="3">
        <f>信用曲线—价格!A1152</f>
        <v>46246</v>
      </c>
      <c r="B1152" s="1">
        <f>[1]!i_dq_close($B$1,A1152)</f>
        <v>161.32159999999999</v>
      </c>
      <c r="C1152" s="1">
        <f>[1]!i_dq_close($C$1,A1152)</f>
        <v>180.51230000000001</v>
      </c>
      <c r="D1152" s="1">
        <f>[1]!i_dq_close($D$1,A1152)</f>
        <v>196.18989999999999</v>
      </c>
      <c r="E1152" s="1">
        <f>[1]!i_dq_close($E$1,A1152)</f>
        <v>205.91200000000001</v>
      </c>
      <c r="F1152" s="1">
        <f>[1]!i_dq_close($F$1,A1152)</f>
        <v>221.16980000000001</v>
      </c>
      <c r="G1152" s="1">
        <f>[1]!i_dq_close($G$1,A1152)</f>
        <v>235.53309999999999</v>
      </c>
      <c r="H1152">
        <f t="shared" si="54"/>
        <v>179.34126666666666</v>
      </c>
      <c r="I1152">
        <f t="shared" si="55"/>
        <v>220.87163333333334</v>
      </c>
    </row>
    <row r="1153" spans="1:9">
      <c r="A1153" s="3">
        <f>信用曲线—价格!A1153</f>
        <v>46247</v>
      </c>
      <c r="B1153" s="1">
        <f>[1]!i_dq_close($B$1,A1153)</f>
        <v>161.32839999999999</v>
      </c>
      <c r="C1153" s="1">
        <f>[1]!i_dq_close($C$1,A1153)</f>
        <v>180.53450000000001</v>
      </c>
      <c r="D1153" s="1">
        <f>[1]!i_dq_close($D$1,A1153)</f>
        <v>196.2244</v>
      </c>
      <c r="E1153" s="1">
        <f>[1]!i_dq_close($E$1,A1153)</f>
        <v>206.0067</v>
      </c>
      <c r="F1153" s="1">
        <f>[1]!i_dq_close($F$1,A1153)</f>
        <v>221.23820000000001</v>
      </c>
      <c r="G1153" s="1">
        <f>[1]!i_dq_close($G$1,A1153)</f>
        <v>235.8262</v>
      </c>
      <c r="H1153">
        <f t="shared" si="54"/>
        <v>179.36243333333331</v>
      </c>
      <c r="I1153">
        <f t="shared" si="55"/>
        <v>221.02369999999999</v>
      </c>
    </row>
    <row r="1154" spans="1:9">
      <c r="A1154" s="3">
        <f>信用曲线—价格!A1154</f>
        <v>46248</v>
      </c>
      <c r="B1154" s="1">
        <f>[1]!i_dq_close($B$1,A1154)</f>
        <v>161.33439999999999</v>
      </c>
      <c r="C1154" s="1">
        <f>[1]!i_dq_close($C$1,A1154)</f>
        <v>180.5421</v>
      </c>
      <c r="D1154" s="1">
        <f>[1]!i_dq_close($D$1,A1154)</f>
        <v>196.2458</v>
      </c>
      <c r="E1154" s="1">
        <f>[1]!i_dq_close($E$1,A1154)</f>
        <v>206.0831</v>
      </c>
      <c r="F1154" s="1">
        <f>[1]!i_dq_close($F$1,A1154)</f>
        <v>221.3176</v>
      </c>
      <c r="G1154" s="1">
        <f>[1]!i_dq_close($G$1,A1154)</f>
        <v>235.97229999999999</v>
      </c>
      <c r="H1154">
        <f t="shared" si="54"/>
        <v>179.3741</v>
      </c>
      <c r="I1154">
        <f t="shared" si="55"/>
        <v>221.12433333333334</v>
      </c>
    </row>
    <row r="1155" spans="1:9">
      <c r="A1155" s="3">
        <f>信用曲线—价格!A1155</f>
        <v>46251</v>
      </c>
      <c r="B1155" s="1">
        <f>[1]!i_dq_close($B$1,A1155)</f>
        <v>161.3561</v>
      </c>
      <c r="C1155" s="1">
        <f>[1]!i_dq_close($C$1,A1155)</f>
        <v>180.5736</v>
      </c>
      <c r="D1155" s="1">
        <f>[1]!i_dq_close($D$1,A1155)</f>
        <v>196.3064</v>
      </c>
      <c r="E1155" s="1">
        <f>[1]!i_dq_close($E$1,A1155)</f>
        <v>206.21090000000001</v>
      </c>
      <c r="F1155" s="1">
        <f>[1]!i_dq_close($F$1,A1155)</f>
        <v>221.51320000000001</v>
      </c>
      <c r="G1155" s="1">
        <f>[1]!i_dq_close($G$1,A1155)</f>
        <v>236.202</v>
      </c>
      <c r="H1155">
        <f t="shared" si="54"/>
        <v>179.41203333333337</v>
      </c>
      <c r="I1155">
        <f t="shared" si="55"/>
        <v>221.30870000000002</v>
      </c>
    </row>
    <row r="1156" spans="1:9">
      <c r="A1156" s="3">
        <f>信用曲线—价格!A1156</f>
        <v>46252</v>
      </c>
      <c r="B1156" s="1">
        <f>[1]!i_dq_close($B$1,A1156)</f>
        <v>161.36519999999999</v>
      </c>
      <c r="C1156" s="1">
        <f>[1]!i_dq_close($C$1,A1156)</f>
        <v>180.59690000000001</v>
      </c>
      <c r="D1156" s="1">
        <f>[1]!i_dq_close($D$1,A1156)</f>
        <v>196.40450000000001</v>
      </c>
      <c r="E1156" s="1">
        <f>[1]!i_dq_close($E$1,A1156)</f>
        <v>206.42660000000001</v>
      </c>
      <c r="F1156" s="1">
        <f>[1]!i_dq_close($F$1,A1156)</f>
        <v>221.81</v>
      </c>
      <c r="G1156" s="1">
        <f>[1]!i_dq_close($G$1,A1156)</f>
        <v>236.56979999999999</v>
      </c>
      <c r="H1156">
        <f t="shared" si="54"/>
        <v>179.45553333333331</v>
      </c>
      <c r="I1156">
        <f t="shared" si="55"/>
        <v>221.60213333333331</v>
      </c>
    </row>
    <row r="1157" spans="1:9">
      <c r="A1157" s="3">
        <f>信用曲线—价格!A1157</f>
        <v>46253</v>
      </c>
      <c r="B1157" s="1">
        <f>[1]!i_dq_close($B$1,A1157)</f>
        <v>161.37309999999999</v>
      </c>
      <c r="C1157" s="1">
        <f>[1]!i_dq_close($C$1,A1157)</f>
        <v>180.61170000000001</v>
      </c>
      <c r="D1157" s="1">
        <f>[1]!i_dq_close($D$1,A1157)</f>
        <v>196.4496</v>
      </c>
      <c r="E1157" s="1">
        <f>[1]!i_dq_close($E$1,A1157)</f>
        <v>206.55600000000001</v>
      </c>
      <c r="F1157" s="1">
        <f>[1]!i_dq_close($F$1,A1157)</f>
        <v>221.9692</v>
      </c>
      <c r="G1157" s="1">
        <f>[1]!i_dq_close($G$1,A1157)</f>
        <v>236.6893</v>
      </c>
      <c r="H1157">
        <f t="shared" si="54"/>
        <v>179.47813333333332</v>
      </c>
      <c r="I1157">
        <f t="shared" si="55"/>
        <v>221.73816666666667</v>
      </c>
    </row>
    <row r="1158" spans="1:9">
      <c r="A1158" s="3">
        <f>信用曲线—价格!A1158</f>
        <v>46254</v>
      </c>
      <c r="B1158" s="1">
        <f>[1]!i_dq_close($B$1,A1158)</f>
        <v>161.37780000000001</v>
      </c>
      <c r="C1158" s="1">
        <f>[1]!i_dq_close($C$1,A1158)</f>
        <v>180.61680000000001</v>
      </c>
      <c r="D1158" s="1">
        <f>[1]!i_dq_close($D$1,A1158)</f>
        <v>196.44040000000001</v>
      </c>
      <c r="E1158" s="1">
        <f>[1]!i_dq_close($E$1,A1158)</f>
        <v>206.53450000000001</v>
      </c>
      <c r="F1158" s="1">
        <f>[1]!i_dq_close($F$1,A1158)</f>
        <v>221.98060000000001</v>
      </c>
      <c r="G1158" s="1">
        <f>[1]!i_dq_close($G$1,A1158)</f>
        <v>236.48089999999999</v>
      </c>
      <c r="H1158">
        <f t="shared" si="54"/>
        <v>179.47833333333332</v>
      </c>
      <c r="I1158">
        <f t="shared" si="55"/>
        <v>221.66533333333334</v>
      </c>
    </row>
    <row r="1159" spans="1:9">
      <c r="A1159" s="3">
        <f>信用曲线—价格!A1159</f>
        <v>46255</v>
      </c>
      <c r="B1159" s="1">
        <f>[1]!i_dq_close($B$1,A1159)</f>
        <v>161.38140000000001</v>
      </c>
      <c r="C1159" s="1">
        <f>[1]!i_dq_close($C$1,A1159)</f>
        <v>180.6173</v>
      </c>
      <c r="D1159" s="1">
        <f>[1]!i_dq_close($D$1,A1159)</f>
        <v>196.43459999999999</v>
      </c>
      <c r="E1159" s="1">
        <f>[1]!i_dq_close($E$1,A1159)</f>
        <v>206.5617</v>
      </c>
      <c r="F1159" s="1">
        <f>[1]!i_dq_close($F$1,A1159)</f>
        <v>221.83019999999999</v>
      </c>
      <c r="G1159" s="1">
        <f>[1]!i_dq_close($G$1,A1159)</f>
        <v>236.31710000000001</v>
      </c>
      <c r="H1159">
        <f t="shared" si="54"/>
        <v>179.47776666666664</v>
      </c>
      <c r="I1159">
        <f t="shared" si="55"/>
        <v>221.56966666666665</v>
      </c>
    </row>
    <row r="1160" spans="1:9">
      <c r="A1160" s="3">
        <f>信用曲线—价格!A1160</f>
        <v>46258</v>
      </c>
      <c r="B1160" s="1">
        <f>[1]!i_dq_close($B$1,A1160)</f>
        <v>161.40379999999999</v>
      </c>
      <c r="C1160" s="1">
        <f>[1]!i_dq_close($C$1,A1160)</f>
        <v>180.65</v>
      </c>
      <c r="D1160" s="1">
        <f>[1]!i_dq_close($D$1,A1160)</f>
        <v>196.48609999999999</v>
      </c>
      <c r="E1160" s="1">
        <f>[1]!i_dq_close($E$1,A1160)</f>
        <v>206.6371</v>
      </c>
      <c r="F1160" s="1">
        <f>[1]!i_dq_close($F$1,A1160)</f>
        <v>221.9246</v>
      </c>
      <c r="G1160" s="1">
        <f>[1]!i_dq_close($G$1,A1160)</f>
        <v>236.58510000000001</v>
      </c>
      <c r="H1160">
        <f t="shared" ref="H1160:H1167" si="56">AVERAGE(B1160:D1160)</f>
        <v>179.51329999999999</v>
      </c>
      <c r="I1160">
        <f t="shared" ref="I1160:I1167" si="57">AVERAGE(E1160:G1160)</f>
        <v>221.71559999999999</v>
      </c>
    </row>
    <row r="1161" spans="1:9">
      <c r="A1161" s="3">
        <f>信用曲线—价格!A1161</f>
        <v>46259</v>
      </c>
      <c r="B1161" s="1">
        <f>[1]!i_dq_close($B$1,A1161)</f>
        <v>161.4101</v>
      </c>
      <c r="C1161" s="1">
        <f>[1]!i_dq_close($C$1,A1161)</f>
        <v>180.66470000000001</v>
      </c>
      <c r="D1161" s="1">
        <f>[1]!i_dq_close($D$1,A1161)</f>
        <v>196.5059</v>
      </c>
      <c r="E1161" s="1">
        <f>[1]!i_dq_close($E$1,A1161)</f>
        <v>206.7492</v>
      </c>
      <c r="F1161" s="1">
        <f>[1]!i_dq_close($F$1,A1161)</f>
        <v>221.93010000000001</v>
      </c>
      <c r="G1161" s="1">
        <f>[1]!i_dq_close($G$1,A1161)</f>
        <v>236.64850000000001</v>
      </c>
      <c r="H1161">
        <f t="shared" si="56"/>
        <v>179.52689999999998</v>
      </c>
      <c r="I1161">
        <f t="shared" si="57"/>
        <v>221.77593333333334</v>
      </c>
    </row>
    <row r="1162" spans="1:9">
      <c r="A1162" s="3">
        <f>信用曲线—价格!A1162</f>
        <v>46260</v>
      </c>
      <c r="B1162" s="1">
        <f>[1]!i_dq_close($B$1,A1162)</f>
        <v>161.417</v>
      </c>
      <c r="C1162" s="1">
        <f>[1]!i_dq_close($C$1,A1162)</f>
        <v>180.6703</v>
      </c>
      <c r="D1162" s="1">
        <f>[1]!i_dq_close($D$1,A1162)</f>
        <v>196.51910000000001</v>
      </c>
      <c r="E1162" s="1">
        <f>[1]!i_dq_close($E$1,A1162)</f>
        <v>206.76840000000001</v>
      </c>
      <c r="F1162" s="1">
        <f>[1]!i_dq_close($F$1,A1162)</f>
        <v>221.94</v>
      </c>
      <c r="G1162" s="1">
        <f>[1]!i_dq_close($G$1,A1162)</f>
        <v>236.5027</v>
      </c>
      <c r="H1162">
        <f t="shared" si="56"/>
        <v>179.53546666666668</v>
      </c>
      <c r="I1162">
        <f t="shared" si="57"/>
        <v>221.73703333333333</v>
      </c>
    </row>
    <row r="1163" spans="1:9">
      <c r="A1163" s="3">
        <f>信用曲线—价格!A1163</f>
        <v>46261</v>
      </c>
      <c r="B1163" s="1">
        <f>[1]!i_dq_close($B$1,A1163)</f>
        <v>161.42259999999999</v>
      </c>
      <c r="C1163" s="1">
        <f>[1]!i_dq_close($C$1,A1163)</f>
        <v>180.66900000000001</v>
      </c>
      <c r="D1163" s="1">
        <f>[1]!i_dq_close($D$1,A1163)</f>
        <v>196.49449999999999</v>
      </c>
      <c r="E1163" s="1">
        <f>[1]!i_dq_close($E$1,A1163)</f>
        <v>206.7208</v>
      </c>
      <c r="F1163" s="1">
        <f>[1]!i_dq_close($F$1,A1163)</f>
        <v>221.8296</v>
      </c>
      <c r="G1163" s="1">
        <f>[1]!i_dq_close($G$1,A1163)</f>
        <v>236.4332</v>
      </c>
      <c r="H1163">
        <f t="shared" si="56"/>
        <v>179.52869999999999</v>
      </c>
      <c r="I1163">
        <f t="shared" si="57"/>
        <v>221.66120000000001</v>
      </c>
    </row>
    <row r="1164" spans="1:9">
      <c r="A1164" s="3">
        <f>信用曲线—价格!A1164</f>
        <v>46262</v>
      </c>
      <c r="B1164" s="1">
        <f>[1]!i_dq_close($B$1,A1164)</f>
        <v>161.42840000000001</v>
      </c>
      <c r="C1164" s="1">
        <f>[1]!i_dq_close($C$1,A1164)</f>
        <v>180.66669999999999</v>
      </c>
      <c r="D1164" s="1">
        <f>[1]!i_dq_close($D$1,A1164)</f>
        <v>196.48400000000001</v>
      </c>
      <c r="E1164" s="1">
        <f>[1]!i_dq_close($E$1,A1164)</f>
        <v>206.6814</v>
      </c>
      <c r="F1164" s="1">
        <f>[1]!i_dq_close($F$1,A1164)</f>
        <v>221.7859</v>
      </c>
      <c r="G1164" s="1">
        <f>[1]!i_dq_close($G$1,A1164)</f>
        <v>236.5069</v>
      </c>
      <c r="H1164">
        <f t="shared" si="56"/>
        <v>179.52636666666669</v>
      </c>
      <c r="I1164">
        <f t="shared" si="57"/>
        <v>221.65806666666666</v>
      </c>
    </row>
    <row r="1165" spans="1:9">
      <c r="A1165" s="3">
        <f>信用曲线—价格!A1165</f>
        <v>46265</v>
      </c>
      <c r="B1165" s="1">
        <f>[1]!i_dq_close($B$1,A1165)</f>
        <v>161.44909999999999</v>
      </c>
      <c r="C1165" s="1">
        <f>[1]!i_dq_close($C$1,A1165)</f>
        <v>180.68809999999999</v>
      </c>
      <c r="D1165" s="1">
        <f>[1]!i_dq_close($D$1,A1165)</f>
        <v>196.49289999999999</v>
      </c>
      <c r="E1165" s="1">
        <f>[1]!i_dq_close($E$1,A1165)</f>
        <v>206.73390000000001</v>
      </c>
      <c r="F1165" s="1">
        <f>[1]!i_dq_close($F$1,A1165)</f>
        <v>221.8751</v>
      </c>
      <c r="G1165" s="1">
        <f>[1]!i_dq_close($G$1,A1165)</f>
        <v>236.65989999999999</v>
      </c>
      <c r="H1165">
        <f t="shared" si="56"/>
        <v>179.54336666666666</v>
      </c>
      <c r="I1165">
        <f t="shared" si="57"/>
        <v>221.75630000000001</v>
      </c>
    </row>
    <row r="1166" spans="1:9">
      <c r="A1166" s="3">
        <f>信用曲线—价格!A1166</f>
        <v>46266</v>
      </c>
      <c r="B1166" s="1">
        <f>[1]!i_dq_close($B$1,A1166)</f>
        <v>161.45920000000001</v>
      </c>
      <c r="C1166" s="1">
        <f>[1]!i_dq_close($C$1,A1166)</f>
        <v>180.71</v>
      </c>
      <c r="D1166" s="1">
        <f>[1]!i_dq_close($D$1,A1166)</f>
        <v>196.5504</v>
      </c>
      <c r="E1166" s="1">
        <f>[1]!i_dq_close($E$1,A1166)</f>
        <v>206.80449999999999</v>
      </c>
      <c r="F1166" s="1">
        <f>[1]!i_dq_close($F$1,A1166)</f>
        <v>221.82570000000001</v>
      </c>
      <c r="G1166" s="1">
        <f>[1]!i_dq_close($G$1,A1166)</f>
        <v>236.75909999999999</v>
      </c>
      <c r="H1166">
        <f t="shared" si="56"/>
        <v>179.57320000000001</v>
      </c>
      <c r="I1166">
        <f t="shared" si="57"/>
        <v>221.79643333333334</v>
      </c>
    </row>
    <row r="1167" spans="1:9">
      <c r="A1167" s="3">
        <f>信用曲线—价格!A1167</f>
        <v>46267</v>
      </c>
      <c r="B1167" s="1">
        <f>[1]!i_dq_close($B$1,A1167)</f>
        <v>161.46690000000001</v>
      </c>
      <c r="C1167" s="1">
        <f>[1]!i_dq_close($C$1,A1167)</f>
        <v>180.72710000000001</v>
      </c>
      <c r="D1167" s="1">
        <f>[1]!i_dq_close($D$1,A1167)</f>
        <v>196.57570000000001</v>
      </c>
      <c r="E1167" s="1">
        <f>[1]!i_dq_close($E$1,A1167)</f>
        <v>206.84690000000001</v>
      </c>
      <c r="F1167" s="1">
        <f>[1]!i_dq_close($F$1,A1167)</f>
        <v>221.86619999999999</v>
      </c>
      <c r="G1167" s="1">
        <f>[1]!i_dq_close($G$1,A1167)</f>
        <v>236.74510000000001</v>
      </c>
      <c r="H1167">
        <f t="shared" si="56"/>
        <v>179.58990000000003</v>
      </c>
      <c r="I1167">
        <f t="shared" si="57"/>
        <v>221.8194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46" activePane="bottomRight" state="frozen"/>
      <selection pane="topRight" activeCell="B1" sqref="B1"/>
      <selection pane="bottomLeft" activeCell="A3" sqref="A3"/>
      <selection pane="bottomRight" activeCell="G1170" sqref="G1170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1:14">
      <c r="A1121" s="5">
        <v>46203</v>
      </c>
      <c r="B1121" s="6">
        <v>1.6802999999999999</v>
      </c>
      <c r="C1121" s="6">
        <v>1.853</v>
      </c>
      <c r="D1121" s="6">
        <v>2.0945</v>
      </c>
      <c r="E1121" s="6">
        <v>2.2602000000000002</v>
      </c>
      <c r="F1121" s="6">
        <v>1.6746000000000001</v>
      </c>
      <c r="G1121" s="6">
        <v>1.7785</v>
      </c>
      <c r="H1121">
        <f t="shared" ref="H1121" si="46">(D1121-F1121)*100</f>
        <v>41.989999999999995</v>
      </c>
      <c r="I1121">
        <f t="shared" ref="I1121" si="47">(E1121-G1121)*100</f>
        <v>48.170000000000023</v>
      </c>
      <c r="J1121" s="6"/>
      <c r="K1121" s="6"/>
      <c r="L1121" s="6"/>
      <c r="M1121" s="6"/>
      <c r="N1121" s="6"/>
    </row>
    <row r="1122" spans="1:14">
      <c r="A1122" s="5">
        <v>46204</v>
      </c>
      <c r="B1122" s="6">
        <v>1.7041999999999999</v>
      </c>
      <c r="C1122" s="6">
        <v>1.8643000000000001</v>
      </c>
      <c r="D1122" s="6">
        <v>2.1</v>
      </c>
      <c r="E1122" s="6">
        <v>2.2776999999999998</v>
      </c>
      <c r="F1122" s="6">
        <v>1.6896</v>
      </c>
      <c r="G1122" s="6">
        <v>1.7935000000000001</v>
      </c>
      <c r="H1122">
        <f t="shared" ref="H1122:H1156" si="48">(D1122-F1122)*100</f>
        <v>41.040000000000006</v>
      </c>
      <c r="I1122">
        <f t="shared" ref="I1122:I1156" si="49">(E1122-G1122)*100</f>
        <v>48.419999999999973</v>
      </c>
      <c r="J1122" s="6"/>
      <c r="K1122" s="6"/>
      <c r="L1122" s="6"/>
      <c r="M1122" s="6"/>
      <c r="N1122" s="6"/>
    </row>
    <row r="1123" spans="1:14">
      <c r="A1123" s="5">
        <v>46205</v>
      </c>
      <c r="B1123" s="6">
        <v>1.7078</v>
      </c>
      <c r="C1123" s="6">
        <v>1.8711</v>
      </c>
      <c r="D1123" s="6">
        <v>2.1011000000000002</v>
      </c>
      <c r="E1123" s="6">
        <v>2.2877000000000001</v>
      </c>
      <c r="F1123" s="6">
        <v>1.6826000000000001</v>
      </c>
      <c r="G1123" s="6">
        <v>1.7929999999999999</v>
      </c>
      <c r="H1123">
        <f t="shared" si="48"/>
        <v>41.850000000000009</v>
      </c>
      <c r="I1123">
        <f t="shared" si="49"/>
        <v>49.470000000000013</v>
      </c>
      <c r="J1123" s="6"/>
      <c r="K1123" s="6"/>
      <c r="L1123" s="6"/>
      <c r="M1123" s="6"/>
      <c r="N1123" s="6"/>
    </row>
    <row r="1124" spans="1:14">
      <c r="A1124" s="5">
        <v>46206</v>
      </c>
      <c r="B1124" s="6">
        <v>1.7051000000000001</v>
      </c>
      <c r="C1124" s="6">
        <v>1.8673999999999999</v>
      </c>
      <c r="D1124" s="6">
        <v>2.0966</v>
      </c>
      <c r="E1124" s="6">
        <v>2.2875999999999999</v>
      </c>
      <c r="F1124" s="6">
        <v>1.6816</v>
      </c>
      <c r="G1124" s="6">
        <v>1.7969999999999999</v>
      </c>
      <c r="H1124">
        <f t="shared" si="48"/>
        <v>41.5</v>
      </c>
      <c r="I1124">
        <f t="shared" si="49"/>
        <v>49.059999999999995</v>
      </c>
      <c r="J1124" s="6"/>
      <c r="K1124" s="6"/>
      <c r="L1124" s="6"/>
      <c r="M1124" s="6"/>
      <c r="N1124" s="6"/>
    </row>
    <row r="1125" spans="1:14">
      <c r="A1125" s="5">
        <v>46209</v>
      </c>
      <c r="B1125" s="6">
        <v>1.6988000000000001</v>
      </c>
      <c r="C1125" s="6">
        <v>1.8687</v>
      </c>
      <c r="D1125" s="6">
        <v>2.0914999999999999</v>
      </c>
      <c r="E1125" s="6">
        <v>2.2907000000000002</v>
      </c>
      <c r="F1125" s="6">
        <v>1.6694</v>
      </c>
      <c r="G1125" s="6">
        <v>1.788</v>
      </c>
      <c r="H1125">
        <f t="shared" si="48"/>
        <v>42.209999999999994</v>
      </c>
      <c r="I1125">
        <f t="shared" si="49"/>
        <v>50.270000000000017</v>
      </c>
      <c r="J1125" s="6"/>
      <c r="K1125" s="6"/>
      <c r="L1125" s="6"/>
      <c r="M1125" s="6"/>
      <c r="N1125" s="6"/>
    </row>
    <row r="1126" spans="1:14">
      <c r="A1126" s="5">
        <v>46210</v>
      </c>
      <c r="B1126" s="6">
        <v>1.6993</v>
      </c>
      <c r="C1126" s="6">
        <v>1.8666</v>
      </c>
      <c r="D1126" s="6">
        <v>2.0914000000000001</v>
      </c>
      <c r="E1126" s="6">
        <v>2.2890000000000001</v>
      </c>
      <c r="F1126" s="6">
        <v>1.6678999999999999</v>
      </c>
      <c r="G1126" s="6">
        <v>1.7885</v>
      </c>
      <c r="H1126">
        <f t="shared" si="48"/>
        <v>42.350000000000023</v>
      </c>
      <c r="I1126">
        <f t="shared" si="49"/>
        <v>50.050000000000018</v>
      </c>
      <c r="J1126" s="6"/>
      <c r="K1126" s="6"/>
      <c r="L1126" s="6"/>
      <c r="M1126" s="6"/>
      <c r="N1126" s="6"/>
    </row>
    <row r="1127" spans="1:14">
      <c r="A1127" s="5">
        <v>46211</v>
      </c>
      <c r="B1127" s="6">
        <v>1.7033</v>
      </c>
      <c r="C1127" s="6">
        <v>1.8653999999999999</v>
      </c>
      <c r="D1127" s="6">
        <v>2.0813000000000001</v>
      </c>
      <c r="E1127" s="6">
        <v>2.2875999999999999</v>
      </c>
      <c r="F1127" s="6">
        <v>1.6638999999999999</v>
      </c>
      <c r="G1127" s="6">
        <v>1.7855000000000001</v>
      </c>
      <c r="H1127">
        <f t="shared" si="48"/>
        <v>41.740000000000023</v>
      </c>
      <c r="I1127">
        <f t="shared" si="49"/>
        <v>50.20999999999998</v>
      </c>
      <c r="J1127" s="6"/>
      <c r="K1127" s="6"/>
      <c r="L1127" s="6"/>
      <c r="M1127" s="6"/>
      <c r="N1127" s="6"/>
    </row>
    <row r="1128" spans="1:14">
      <c r="A1128" s="5">
        <v>46212</v>
      </c>
      <c r="B1128" s="6">
        <v>1.7054</v>
      </c>
      <c r="C1128" s="6">
        <v>1.8685</v>
      </c>
      <c r="D1128" s="6">
        <v>2.08</v>
      </c>
      <c r="E1128" s="6">
        <v>2.2911000000000001</v>
      </c>
      <c r="F1128" s="6">
        <v>1.6671</v>
      </c>
      <c r="G1128" s="6">
        <v>1.7875000000000001</v>
      </c>
      <c r="H1128">
        <f t="shared" si="48"/>
        <v>41.290000000000006</v>
      </c>
      <c r="I1128">
        <f t="shared" si="49"/>
        <v>50.360000000000007</v>
      </c>
      <c r="J1128" s="6"/>
      <c r="K1128" s="6"/>
      <c r="L1128" s="6"/>
      <c r="M1128" s="6"/>
      <c r="N1128" s="6"/>
    </row>
    <row r="1129" spans="1:14">
      <c r="A1129" s="5">
        <v>46213</v>
      </c>
      <c r="B1129" s="6">
        <v>1.7151000000000001</v>
      </c>
      <c r="C1129" s="6">
        <v>1.8767</v>
      </c>
      <c r="D1129" s="6">
        <v>2.0737999999999999</v>
      </c>
      <c r="E1129" s="6">
        <v>2.2955000000000001</v>
      </c>
      <c r="F1129" s="6">
        <v>1.6696</v>
      </c>
      <c r="G1129" s="6">
        <v>1.788</v>
      </c>
      <c r="H1129">
        <f t="shared" si="48"/>
        <v>40.419999999999987</v>
      </c>
      <c r="I1129">
        <f t="shared" si="49"/>
        <v>50.750000000000007</v>
      </c>
      <c r="J1129" s="6"/>
      <c r="K1129" s="6"/>
      <c r="L1129" s="6"/>
      <c r="M1129" s="6"/>
      <c r="N1129" s="6"/>
    </row>
    <row r="1130" spans="1:14">
      <c r="A1130" s="5">
        <v>46216</v>
      </c>
      <c r="B1130" s="6">
        <v>1.7191000000000001</v>
      </c>
      <c r="C1130" s="6">
        <v>1.8695999999999999</v>
      </c>
      <c r="D1130" s="6">
        <v>2.0663999999999998</v>
      </c>
      <c r="E1130" s="6">
        <v>2.2970000000000002</v>
      </c>
      <c r="F1130" s="6">
        <v>1.6714</v>
      </c>
      <c r="G1130" s="6">
        <v>1.7925</v>
      </c>
      <c r="H1130">
        <f t="shared" si="48"/>
        <v>39.499999999999979</v>
      </c>
      <c r="I1130">
        <f t="shared" si="49"/>
        <v>50.450000000000017</v>
      </c>
      <c r="J1130" s="6"/>
      <c r="K1130" s="6"/>
      <c r="L1130" s="6"/>
      <c r="M1130" s="6"/>
      <c r="N1130" s="6"/>
    </row>
    <row r="1131" spans="1:14">
      <c r="A1131" s="5">
        <v>46217</v>
      </c>
      <c r="B1131" s="6">
        <v>1.7230000000000001</v>
      </c>
      <c r="C1131" s="6">
        <v>1.8660000000000001</v>
      </c>
      <c r="D1131" s="6">
        <v>2.0647000000000002</v>
      </c>
      <c r="E1131" s="6">
        <v>2.2978000000000001</v>
      </c>
      <c r="F1131" s="6">
        <v>1.6729000000000001</v>
      </c>
      <c r="G1131" s="6">
        <v>1.7895000000000001</v>
      </c>
      <c r="H1131">
        <f t="shared" si="48"/>
        <v>39.180000000000014</v>
      </c>
      <c r="I1131">
        <f t="shared" si="49"/>
        <v>50.83</v>
      </c>
      <c r="J1131" s="6"/>
      <c r="K1131" s="6"/>
      <c r="L1131" s="6"/>
      <c r="M1131" s="6"/>
      <c r="N1131" s="6"/>
    </row>
    <row r="1132" spans="1:14">
      <c r="A1132" s="5">
        <v>46218</v>
      </c>
      <c r="B1132" s="6">
        <v>1.7188000000000001</v>
      </c>
      <c r="C1132" s="6">
        <v>1.8666</v>
      </c>
      <c r="D1132" s="6">
        <v>2.0644</v>
      </c>
      <c r="E1132" s="6">
        <v>2.2982999999999998</v>
      </c>
      <c r="F1132" s="6">
        <v>1.6684000000000001</v>
      </c>
      <c r="G1132" s="6">
        <v>1.7895000000000001</v>
      </c>
      <c r="H1132">
        <f t="shared" si="48"/>
        <v>39.599999999999994</v>
      </c>
      <c r="I1132">
        <f t="shared" si="49"/>
        <v>50.879999999999967</v>
      </c>
      <c r="J1132" s="6"/>
      <c r="K1132" s="6"/>
      <c r="L1132" s="6"/>
      <c r="M1132" s="6"/>
      <c r="N1132" s="6"/>
    </row>
    <row r="1133" spans="1:14">
      <c r="A1133" s="5">
        <v>46219</v>
      </c>
      <c r="B1133" s="6">
        <v>1.7216</v>
      </c>
      <c r="C1133" s="6">
        <v>1.8751</v>
      </c>
      <c r="D1133" s="6">
        <v>2.0688</v>
      </c>
      <c r="E1133" s="6">
        <v>2.3033000000000001</v>
      </c>
      <c r="F1133" s="6">
        <v>1.6709000000000001</v>
      </c>
      <c r="G1133" s="6">
        <v>1.7909999999999999</v>
      </c>
      <c r="H1133">
        <f t="shared" si="48"/>
        <v>39.789999999999992</v>
      </c>
      <c r="I1133">
        <f t="shared" si="49"/>
        <v>51.230000000000018</v>
      </c>
      <c r="J1133" s="6"/>
      <c r="K1133" s="6"/>
      <c r="L1133" s="6"/>
      <c r="M1133" s="6"/>
      <c r="N1133" s="6"/>
    </row>
    <row r="1134" spans="1:14">
      <c r="A1134" s="5">
        <v>46220</v>
      </c>
      <c r="B1134" s="6">
        <v>1.7193000000000001</v>
      </c>
      <c r="C1134" s="6">
        <v>1.8725000000000001</v>
      </c>
      <c r="D1134" s="6">
        <v>2.0705</v>
      </c>
      <c r="E1134" s="6">
        <v>2.3033999999999999</v>
      </c>
      <c r="F1134" s="6">
        <v>1.6659999999999999</v>
      </c>
      <c r="G1134" s="6">
        <v>1.7875000000000001</v>
      </c>
      <c r="H1134">
        <f t="shared" si="48"/>
        <v>40.45000000000001</v>
      </c>
      <c r="I1134">
        <f t="shared" si="49"/>
        <v>51.589999999999982</v>
      </c>
      <c r="J1134" s="6"/>
      <c r="K1134" s="6"/>
      <c r="L1134" s="6"/>
      <c r="M1134" s="6"/>
      <c r="N1134" s="6"/>
    </row>
    <row r="1135" spans="1:14">
      <c r="A1135" s="5">
        <v>46223</v>
      </c>
      <c r="B1135" s="6">
        <v>1.7142999999999999</v>
      </c>
      <c r="C1135" s="6">
        <v>1.8716999999999999</v>
      </c>
      <c r="D1135" s="6">
        <v>2.0729000000000002</v>
      </c>
      <c r="E1135" s="6">
        <v>2.3046000000000002</v>
      </c>
      <c r="F1135" s="6">
        <v>1.6695</v>
      </c>
      <c r="G1135" s="6">
        <v>1.792</v>
      </c>
      <c r="H1135">
        <f t="shared" si="48"/>
        <v>40.340000000000018</v>
      </c>
      <c r="I1135">
        <f t="shared" si="49"/>
        <v>51.260000000000019</v>
      </c>
      <c r="J1135" s="6"/>
      <c r="K1135" s="6"/>
      <c r="L1135" s="6"/>
      <c r="M1135" s="6"/>
      <c r="N1135" s="6"/>
    </row>
    <row r="1136" spans="1:14">
      <c r="A1136" s="5">
        <v>46224</v>
      </c>
      <c r="B1136" s="6">
        <v>1.712</v>
      </c>
      <c r="C1136" s="6">
        <v>1.8733</v>
      </c>
      <c r="D1136" s="6">
        <v>2.0670000000000002</v>
      </c>
      <c r="E1136" s="6">
        <v>2.3062</v>
      </c>
      <c r="F1136" s="6">
        <v>1.6735</v>
      </c>
      <c r="G1136" s="6">
        <v>1.7929999999999999</v>
      </c>
      <c r="H1136">
        <f t="shared" si="48"/>
        <v>39.350000000000016</v>
      </c>
      <c r="I1136">
        <f t="shared" si="49"/>
        <v>51.320000000000007</v>
      </c>
      <c r="J1136" s="6"/>
      <c r="K1136" s="6"/>
      <c r="L1136" s="6"/>
      <c r="M1136" s="6"/>
      <c r="N1136" s="6"/>
    </row>
    <row r="1137" spans="1:14">
      <c r="A1137" s="5">
        <v>46225</v>
      </c>
      <c r="B1137" s="6">
        <v>1.7146999999999999</v>
      </c>
      <c r="C1137" s="6">
        <v>1.8586</v>
      </c>
      <c r="D1137" s="6">
        <v>2.0646</v>
      </c>
      <c r="E1137" s="6">
        <v>2.2976000000000001</v>
      </c>
      <c r="F1137" s="6">
        <v>1.6657999999999999</v>
      </c>
      <c r="G1137" s="6">
        <v>1.7778</v>
      </c>
      <c r="H1137">
        <f t="shared" si="48"/>
        <v>39.880000000000003</v>
      </c>
      <c r="I1137">
        <f t="shared" si="49"/>
        <v>51.980000000000004</v>
      </c>
      <c r="J1137" s="6"/>
      <c r="K1137" s="6"/>
      <c r="L1137" s="6"/>
      <c r="M1137" s="6"/>
      <c r="N1137" s="6"/>
    </row>
    <row r="1138" spans="1:14">
      <c r="A1138" s="5">
        <v>46226</v>
      </c>
      <c r="B1138" s="6">
        <v>1.7253000000000001</v>
      </c>
      <c r="C1138" s="6">
        <v>1.8557999999999999</v>
      </c>
      <c r="D1138" s="6">
        <v>2.0655000000000001</v>
      </c>
      <c r="E1138" s="6">
        <v>2.2925</v>
      </c>
      <c r="F1138" s="6">
        <v>1.6733</v>
      </c>
      <c r="G1138" s="6">
        <v>1.7837000000000001</v>
      </c>
      <c r="H1138">
        <f t="shared" si="48"/>
        <v>39.220000000000013</v>
      </c>
      <c r="I1138">
        <f t="shared" si="49"/>
        <v>50.879999999999995</v>
      </c>
      <c r="J1138" s="6"/>
      <c r="K1138" s="6"/>
      <c r="L1138" s="6"/>
      <c r="M1138" s="6"/>
      <c r="N1138" s="6"/>
    </row>
    <row r="1139" spans="1:14">
      <c r="A1139" s="5">
        <v>46227</v>
      </c>
      <c r="B1139" s="6">
        <v>1.7262</v>
      </c>
      <c r="C1139" s="6">
        <v>1.8557999999999999</v>
      </c>
      <c r="D1139" s="6">
        <v>2.0655000000000001</v>
      </c>
      <c r="E1139" s="6">
        <v>2.3008000000000002</v>
      </c>
      <c r="F1139" s="6">
        <v>1.675</v>
      </c>
      <c r="G1139" s="6">
        <v>1.7831999999999999</v>
      </c>
      <c r="H1139">
        <f t="shared" si="48"/>
        <v>39.050000000000004</v>
      </c>
      <c r="I1139">
        <f t="shared" si="49"/>
        <v>51.760000000000026</v>
      </c>
      <c r="J1139" s="6"/>
      <c r="K1139" s="6"/>
      <c r="L1139" s="6"/>
      <c r="M1139" s="6"/>
      <c r="N1139" s="6"/>
    </row>
    <row r="1140" spans="1:14">
      <c r="A1140" s="5">
        <v>46230</v>
      </c>
      <c r="B1140" s="6">
        <v>1.7425999999999999</v>
      </c>
      <c r="C1140" s="6">
        <v>1.8616999999999999</v>
      </c>
      <c r="D1140" s="6">
        <v>2.0648</v>
      </c>
      <c r="E1140" s="6">
        <v>2.3106</v>
      </c>
      <c r="F1140" s="6">
        <v>1.6775</v>
      </c>
      <c r="G1140" s="6">
        <v>1.7864</v>
      </c>
      <c r="H1140">
        <f t="shared" si="48"/>
        <v>38.729999999999997</v>
      </c>
      <c r="I1140">
        <f t="shared" si="49"/>
        <v>52.42</v>
      </c>
      <c r="J1140" s="6"/>
      <c r="K1140" s="6"/>
      <c r="L1140" s="6"/>
      <c r="M1140" s="6"/>
      <c r="N1140" s="6"/>
    </row>
    <row r="1141" spans="1:14">
      <c r="A1141" s="5">
        <v>46231</v>
      </c>
      <c r="B1141" s="6">
        <v>1.7438</v>
      </c>
      <c r="C1141" s="6">
        <v>1.8631</v>
      </c>
      <c r="D1141" s="6">
        <v>2.0684999999999998</v>
      </c>
      <c r="E1141" s="6">
        <v>2.3109000000000002</v>
      </c>
      <c r="F1141" s="6">
        <v>1.6843999999999999</v>
      </c>
      <c r="G1141" s="6">
        <v>1.7904</v>
      </c>
      <c r="H1141">
        <f t="shared" si="48"/>
        <v>38.409999999999989</v>
      </c>
      <c r="I1141">
        <f t="shared" si="49"/>
        <v>52.050000000000018</v>
      </c>
      <c r="J1141" s="6"/>
      <c r="K1141" s="6"/>
      <c r="L1141" s="6"/>
      <c r="M1141" s="6"/>
      <c r="N1141" s="6"/>
    </row>
    <row r="1142" spans="1:14">
      <c r="A1142" s="5">
        <v>46232</v>
      </c>
      <c r="B1142" s="6">
        <v>1.7410000000000001</v>
      </c>
      <c r="C1142" s="6">
        <v>1.8617999999999999</v>
      </c>
      <c r="D1142" s="6">
        <v>2.0773999999999999</v>
      </c>
      <c r="E1142" s="6">
        <v>2.3016000000000001</v>
      </c>
      <c r="F1142" s="6">
        <v>1.681</v>
      </c>
      <c r="G1142" s="6">
        <v>1.7907</v>
      </c>
      <c r="H1142">
        <f t="shared" si="48"/>
        <v>39.639999999999986</v>
      </c>
      <c r="I1142">
        <f t="shared" si="49"/>
        <v>51.090000000000011</v>
      </c>
      <c r="J1142" s="6"/>
      <c r="K1142" s="6"/>
      <c r="L1142" s="6"/>
      <c r="M1142" s="6"/>
      <c r="N1142" s="6"/>
    </row>
    <row r="1143" spans="1:14">
      <c r="A1143" s="5">
        <v>46233</v>
      </c>
      <c r="B1143" s="6">
        <v>1.7412000000000001</v>
      </c>
      <c r="C1143" s="6">
        <v>1.8664000000000001</v>
      </c>
      <c r="D1143" s="6">
        <v>2.0788000000000002</v>
      </c>
      <c r="E1143" s="6">
        <v>2.2997999999999998</v>
      </c>
      <c r="F1143" s="6">
        <v>1.6741999999999999</v>
      </c>
      <c r="G1143" s="6">
        <v>1.7806</v>
      </c>
      <c r="H1143">
        <f t="shared" si="48"/>
        <v>40.460000000000029</v>
      </c>
      <c r="I1143">
        <f t="shared" si="49"/>
        <v>51.919999999999987</v>
      </c>
      <c r="J1143" s="6"/>
      <c r="K1143" s="6"/>
      <c r="L1143" s="6"/>
      <c r="M1143" s="6"/>
      <c r="N1143" s="6"/>
    </row>
    <row r="1144" spans="1:14">
      <c r="A1144" s="5">
        <v>46234</v>
      </c>
      <c r="B1144" s="6">
        <v>1.7402</v>
      </c>
      <c r="C1144" s="6">
        <v>1.8678999999999999</v>
      </c>
      <c r="D1144" s="6">
        <v>2.0718999999999999</v>
      </c>
      <c r="E1144" s="6">
        <v>2.2924000000000002</v>
      </c>
      <c r="F1144" s="6">
        <v>1.67</v>
      </c>
      <c r="G1144" s="6">
        <v>1.776</v>
      </c>
      <c r="H1144">
        <f t="shared" si="48"/>
        <v>40.189999999999991</v>
      </c>
      <c r="I1144">
        <f t="shared" si="49"/>
        <v>51.640000000000022</v>
      </c>
      <c r="J1144" s="6"/>
      <c r="K1144" s="6"/>
      <c r="L1144" s="6"/>
      <c r="M1144" s="6"/>
      <c r="N1144" s="6"/>
    </row>
    <row r="1145" spans="1:14">
      <c r="A1145" s="5">
        <v>46237</v>
      </c>
      <c r="B1145" s="6">
        <v>1.734</v>
      </c>
      <c r="C1145" s="6">
        <v>1.8683000000000001</v>
      </c>
      <c r="D1145" s="6">
        <v>2.0735000000000001</v>
      </c>
      <c r="E1145" s="6">
        <v>2.3010999999999999</v>
      </c>
      <c r="F1145" s="6">
        <v>1.6725000000000001</v>
      </c>
      <c r="G1145" s="6">
        <v>1.7793000000000001</v>
      </c>
      <c r="H1145">
        <f t="shared" si="48"/>
        <v>40.1</v>
      </c>
      <c r="I1145">
        <f t="shared" si="49"/>
        <v>52.179999999999978</v>
      </c>
      <c r="J1145" s="6"/>
      <c r="K1145" s="6"/>
      <c r="L1145" s="6"/>
      <c r="M1145" s="6"/>
      <c r="N1145" s="6"/>
    </row>
    <row r="1146" spans="1:14">
      <c r="A1146" s="5">
        <v>46238</v>
      </c>
      <c r="B1146" s="6">
        <v>1.7343999999999999</v>
      </c>
      <c r="C1146" s="6">
        <v>1.8622000000000001</v>
      </c>
      <c r="D1146" s="6">
        <v>2.0828000000000002</v>
      </c>
      <c r="E1146" s="6">
        <v>2.3045</v>
      </c>
      <c r="F1146" s="6">
        <v>1.6655</v>
      </c>
      <c r="G1146" s="6">
        <v>1.7773000000000001</v>
      </c>
      <c r="H1146">
        <f t="shared" si="48"/>
        <v>41.730000000000025</v>
      </c>
      <c r="I1146">
        <f t="shared" si="49"/>
        <v>52.719999999999992</v>
      </c>
      <c r="J1146" s="6"/>
      <c r="K1146" s="6"/>
      <c r="L1146" s="6"/>
      <c r="M1146" s="6"/>
      <c r="N1146" s="6"/>
    </row>
    <row r="1147" spans="1:14">
      <c r="A1147" s="5">
        <v>46239</v>
      </c>
      <c r="B1147" s="6">
        <v>1.7370000000000001</v>
      </c>
      <c r="C1147" s="6">
        <v>1.861</v>
      </c>
      <c r="D1147" s="6">
        <v>2.0728</v>
      </c>
      <c r="E1147" s="6">
        <v>2.2909999999999999</v>
      </c>
      <c r="F1147" s="6">
        <v>1.6617999999999999</v>
      </c>
      <c r="G1147" s="6">
        <v>1.7783</v>
      </c>
      <c r="H1147">
        <f t="shared" si="48"/>
        <v>41.1</v>
      </c>
      <c r="I1147">
        <f t="shared" si="49"/>
        <v>51.269999999999996</v>
      </c>
      <c r="J1147" s="6"/>
      <c r="K1147" s="6"/>
      <c r="L1147" s="6"/>
      <c r="M1147" s="6"/>
      <c r="N1147" s="6"/>
    </row>
    <row r="1148" spans="1:14">
      <c r="A1148" s="5">
        <v>46240</v>
      </c>
      <c r="B1148" s="6">
        <v>1.726</v>
      </c>
      <c r="C1148" s="6">
        <v>1.8568</v>
      </c>
      <c r="D1148" s="6">
        <v>2.0727000000000002</v>
      </c>
      <c r="E1148" s="6">
        <v>2.2822</v>
      </c>
      <c r="F1148" s="6">
        <v>1.6557999999999999</v>
      </c>
      <c r="G1148" s="6">
        <v>1.7624</v>
      </c>
      <c r="H1148">
        <f t="shared" si="48"/>
        <v>41.690000000000026</v>
      </c>
      <c r="I1148">
        <f t="shared" si="49"/>
        <v>51.980000000000004</v>
      </c>
      <c r="J1148" s="6"/>
      <c r="K1148" s="6"/>
      <c r="L1148" s="6"/>
      <c r="M1148" s="6"/>
      <c r="N1148" s="6"/>
    </row>
    <row r="1149" spans="1:14">
      <c r="A1149" s="5">
        <v>46241</v>
      </c>
      <c r="B1149" s="6">
        <v>1.7250000000000001</v>
      </c>
      <c r="C1149" s="6">
        <v>1.8552</v>
      </c>
      <c r="D1149" s="6">
        <v>2.0794999999999999</v>
      </c>
      <c r="E1149" s="6">
        <v>2.2706</v>
      </c>
      <c r="F1149" s="6">
        <v>1.6518999999999999</v>
      </c>
      <c r="G1149" s="6">
        <v>1.7568999999999999</v>
      </c>
      <c r="H1149">
        <f t="shared" si="48"/>
        <v>42.76</v>
      </c>
      <c r="I1149">
        <f t="shared" si="49"/>
        <v>51.370000000000005</v>
      </c>
      <c r="J1149" s="6"/>
      <c r="K1149" s="6"/>
      <c r="L1149" s="6"/>
      <c r="M1149" s="6"/>
      <c r="N1149" s="6"/>
    </row>
    <row r="1150" spans="1:14">
      <c r="A1150" s="5">
        <v>46244</v>
      </c>
      <c r="B1150" s="6">
        <v>1.7151000000000001</v>
      </c>
      <c r="C1150" s="6">
        <v>1.8528</v>
      </c>
      <c r="D1150" s="6">
        <v>2.0600999999999998</v>
      </c>
      <c r="E1150" s="6">
        <v>2.2627999999999999</v>
      </c>
      <c r="F1150" s="6">
        <v>1.6494</v>
      </c>
      <c r="G1150" s="6">
        <v>1.7544</v>
      </c>
      <c r="H1150">
        <f t="shared" si="48"/>
        <v>41.069999999999986</v>
      </c>
      <c r="I1150">
        <f t="shared" si="49"/>
        <v>50.839999999999996</v>
      </c>
      <c r="J1150" s="6"/>
      <c r="K1150" s="6"/>
      <c r="L1150" s="6"/>
      <c r="M1150" s="6"/>
      <c r="N1150" s="6"/>
    </row>
    <row r="1151" spans="1:14">
      <c r="A1151" s="5">
        <v>46245</v>
      </c>
      <c r="B1151" s="6">
        <v>1.7057</v>
      </c>
      <c r="C1151" s="6">
        <v>1.845</v>
      </c>
      <c r="D1151" s="6">
        <v>2.0552999999999999</v>
      </c>
      <c r="E1151" s="6">
        <v>2.2639999999999998</v>
      </c>
      <c r="F1151" s="6">
        <v>1.6594</v>
      </c>
      <c r="G1151" s="6">
        <v>1.7655000000000001</v>
      </c>
      <c r="H1151">
        <f t="shared" si="48"/>
        <v>39.589999999999989</v>
      </c>
      <c r="I1151">
        <f t="shared" si="49"/>
        <v>49.849999999999973</v>
      </c>
      <c r="J1151" s="6"/>
      <c r="K1151" s="6"/>
      <c r="L1151" s="6"/>
      <c r="M1151" s="6"/>
      <c r="N1151" s="6"/>
    </row>
    <row r="1152" spans="1:14">
      <c r="A1152" s="5">
        <v>46246</v>
      </c>
      <c r="B1152" s="6">
        <v>1.7027000000000001</v>
      </c>
      <c r="C1152" s="6">
        <v>1.8451</v>
      </c>
      <c r="D1152" s="6">
        <v>2.0546000000000002</v>
      </c>
      <c r="E1152" s="6">
        <v>2.2555000000000001</v>
      </c>
      <c r="F1152" s="6">
        <v>1.6603000000000001</v>
      </c>
      <c r="G1152" s="6">
        <v>1.7638</v>
      </c>
      <c r="H1152">
        <f t="shared" si="48"/>
        <v>39.430000000000007</v>
      </c>
      <c r="I1152">
        <f t="shared" si="49"/>
        <v>49.17</v>
      </c>
      <c r="J1152" s="6"/>
      <c r="K1152" s="6"/>
      <c r="L1152" s="6"/>
      <c r="M1152" s="6"/>
      <c r="N1152" s="6"/>
    </row>
    <row r="1153" spans="1:14">
      <c r="A1153" s="5">
        <v>46247</v>
      </c>
      <c r="B1153" s="6">
        <v>1.6983999999999999</v>
      </c>
      <c r="C1153" s="6">
        <v>1.8424</v>
      </c>
      <c r="D1153" s="6">
        <v>2.0586000000000002</v>
      </c>
      <c r="E1153" s="6">
        <v>2.2528000000000001</v>
      </c>
      <c r="F1153" s="6">
        <v>1.6564000000000001</v>
      </c>
      <c r="G1153" s="6">
        <v>1.7582</v>
      </c>
      <c r="H1153">
        <f t="shared" si="48"/>
        <v>40.220000000000013</v>
      </c>
      <c r="I1153">
        <f t="shared" si="49"/>
        <v>49.460000000000015</v>
      </c>
      <c r="J1153" s="6"/>
      <c r="K1153" s="6"/>
      <c r="L1153" s="6"/>
      <c r="M1153" s="6"/>
      <c r="N1153" s="6"/>
    </row>
    <row r="1154" spans="1:14">
      <c r="A1154" s="5">
        <v>46248</v>
      </c>
      <c r="B1154" s="6">
        <v>1.7014</v>
      </c>
      <c r="C1154" s="6">
        <v>1.8347</v>
      </c>
      <c r="D1154" s="6">
        <v>2.0497999999999998</v>
      </c>
      <c r="E1154" s="6">
        <v>2.2526000000000002</v>
      </c>
      <c r="F1154" s="6">
        <v>1.6549</v>
      </c>
      <c r="G1154" s="6">
        <v>1.7569999999999999</v>
      </c>
      <c r="H1154">
        <f t="shared" si="48"/>
        <v>39.489999999999981</v>
      </c>
      <c r="I1154">
        <f t="shared" si="49"/>
        <v>49.560000000000024</v>
      </c>
      <c r="J1154" s="6"/>
      <c r="K1154" s="6"/>
      <c r="L1154" s="6"/>
      <c r="M1154" s="6"/>
      <c r="N1154" s="6"/>
    </row>
    <row r="1155" spans="1:14">
      <c r="A1155" s="5">
        <v>46251</v>
      </c>
      <c r="B1155" s="6">
        <v>1.7040999999999999</v>
      </c>
      <c r="C1155" s="6">
        <v>1.8315999999999999</v>
      </c>
      <c r="D1155" s="6">
        <v>2.0440999999999998</v>
      </c>
      <c r="E1155" s="6">
        <v>2.2471000000000001</v>
      </c>
      <c r="F1155" s="6">
        <v>1.6398999999999999</v>
      </c>
      <c r="G1155" s="6">
        <v>1.7511000000000001</v>
      </c>
      <c r="H1155">
        <f t="shared" si="48"/>
        <v>40.419999999999987</v>
      </c>
      <c r="I1155">
        <f t="shared" si="49"/>
        <v>49.6</v>
      </c>
      <c r="J1155" s="6"/>
      <c r="K1155" s="6"/>
      <c r="L1155" s="6"/>
      <c r="M1155" s="6"/>
      <c r="N1155" s="6"/>
    </row>
    <row r="1156" spans="1:14">
      <c r="A1156" s="5">
        <v>46252</v>
      </c>
      <c r="B1156" s="6">
        <v>1.6956</v>
      </c>
      <c r="C1156" s="6">
        <v>1.8085</v>
      </c>
      <c r="D1156" s="6">
        <v>2.0266999999999999</v>
      </c>
      <c r="E1156" s="6">
        <v>2.2292999999999998</v>
      </c>
      <c r="F1156" s="6">
        <v>1.6336999999999999</v>
      </c>
      <c r="G1156" s="6">
        <v>1.7427999999999999</v>
      </c>
      <c r="H1156">
        <f t="shared" si="48"/>
        <v>39.300000000000004</v>
      </c>
      <c r="I1156">
        <f t="shared" si="49"/>
        <v>48.649999999999991</v>
      </c>
      <c r="J1156" s="6"/>
      <c r="K1156" s="6"/>
      <c r="L1156" s="6"/>
      <c r="M1156" s="6"/>
      <c r="N1156" s="6"/>
    </row>
    <row r="1157" spans="1:14">
      <c r="A1157" s="5">
        <v>46253</v>
      </c>
      <c r="B1157" s="6">
        <v>1.6960999999999999</v>
      </c>
      <c r="C1157" s="6">
        <v>1.8030999999999999</v>
      </c>
      <c r="D1157" s="6">
        <v>2.0194999999999999</v>
      </c>
      <c r="E1157" s="6">
        <v>2.2317999999999998</v>
      </c>
      <c r="F1157" s="6">
        <v>1.6436999999999999</v>
      </c>
      <c r="G1157" s="6">
        <v>1.7509999999999999</v>
      </c>
      <c r="H1157">
        <f t="shared" ref="H1157:H1167" si="50">(D1157-F1157)*100</f>
        <v>37.579999999999991</v>
      </c>
      <c r="I1157">
        <f t="shared" ref="I1157:I1167" si="51">(E1157-G1157)*100</f>
        <v>48.079999999999991</v>
      </c>
      <c r="J1157" s="6"/>
      <c r="K1157" s="6"/>
      <c r="L1157" s="6"/>
      <c r="M1157" s="6"/>
      <c r="N1157" s="6"/>
    </row>
    <row r="1158" spans="1:14">
      <c r="A1158" s="5">
        <v>46254</v>
      </c>
      <c r="B1158" s="6">
        <v>1.7035</v>
      </c>
      <c r="C1158" s="6">
        <v>1.8093999999999999</v>
      </c>
      <c r="D1158" s="6">
        <v>2.0243000000000002</v>
      </c>
      <c r="E1158" s="6">
        <v>2.2530000000000001</v>
      </c>
      <c r="F1158" s="6">
        <v>1.6487000000000001</v>
      </c>
      <c r="G1158" s="6">
        <v>1.7559</v>
      </c>
      <c r="H1158">
        <f t="shared" si="50"/>
        <v>37.560000000000016</v>
      </c>
      <c r="I1158">
        <f t="shared" si="51"/>
        <v>49.710000000000008</v>
      </c>
      <c r="J1158" s="6"/>
      <c r="K1158" s="6"/>
      <c r="L1158" s="6"/>
      <c r="M1158" s="6"/>
      <c r="N1158" s="6"/>
    </row>
    <row r="1159" spans="1:14">
      <c r="A1159" s="5">
        <v>46255</v>
      </c>
      <c r="B1159" s="6">
        <v>1.7142999999999999</v>
      </c>
      <c r="C1159" s="6">
        <v>1.8056000000000001</v>
      </c>
      <c r="D1159" s="6">
        <v>2.0318000000000001</v>
      </c>
      <c r="E1159" s="6">
        <v>2.2629999999999999</v>
      </c>
      <c r="F1159" s="6">
        <v>1.6512</v>
      </c>
      <c r="G1159" s="6">
        <v>1.7593000000000001</v>
      </c>
      <c r="H1159">
        <f t="shared" si="50"/>
        <v>38.06</v>
      </c>
      <c r="I1159">
        <f t="shared" si="51"/>
        <v>50.369999999999983</v>
      </c>
      <c r="J1159" s="6"/>
      <c r="K1159" s="6"/>
      <c r="L1159" s="6"/>
      <c r="M1159" s="6"/>
      <c r="N1159" s="6"/>
    </row>
    <row r="1160" spans="1:14">
      <c r="A1160" s="5">
        <v>46258</v>
      </c>
      <c r="B1160" s="6">
        <v>1.7118</v>
      </c>
      <c r="C1160" s="6">
        <v>1.8042</v>
      </c>
      <c r="D1160" s="6">
        <v>2.0156999999999998</v>
      </c>
      <c r="E1160" s="6">
        <v>2.2480000000000002</v>
      </c>
      <c r="F1160" s="6">
        <v>1.6462000000000001</v>
      </c>
      <c r="G1160" s="6">
        <v>1.7496</v>
      </c>
      <c r="H1160">
        <f t="shared" si="50"/>
        <v>36.949999999999974</v>
      </c>
      <c r="I1160">
        <f t="shared" si="51"/>
        <v>49.840000000000018</v>
      </c>
      <c r="J1160" s="6"/>
      <c r="K1160" s="6"/>
      <c r="L1160" s="6"/>
      <c r="M1160" s="6"/>
      <c r="N1160" s="6"/>
    </row>
    <row r="1161" spans="1:14">
      <c r="A1161" s="5">
        <v>46259</v>
      </c>
      <c r="B1161" s="6">
        <v>1.7031000000000001</v>
      </c>
      <c r="C1161" s="6">
        <v>1.8106</v>
      </c>
      <c r="D1161" s="6">
        <v>2.0028999999999999</v>
      </c>
      <c r="E1161" s="6">
        <v>2.2524999999999999</v>
      </c>
      <c r="F1161" s="6">
        <v>1.6512</v>
      </c>
      <c r="G1161" s="6">
        <v>1.7558</v>
      </c>
      <c r="H1161">
        <f t="shared" si="50"/>
        <v>35.169999999999987</v>
      </c>
      <c r="I1161">
        <f t="shared" si="51"/>
        <v>49.669999999999995</v>
      </c>
      <c r="J1161" s="6"/>
      <c r="K1161" s="6"/>
      <c r="L1161" s="6"/>
      <c r="M1161" s="6"/>
      <c r="N1161" s="6"/>
    </row>
    <row r="1162" spans="1:14">
      <c r="A1162" s="5">
        <v>46260</v>
      </c>
      <c r="B1162" s="6">
        <v>1.7068000000000001</v>
      </c>
      <c r="C1162" s="6">
        <v>1.8129999999999999</v>
      </c>
      <c r="D1162" s="6">
        <v>2.0015999999999998</v>
      </c>
      <c r="E1162" s="6">
        <v>2.2498</v>
      </c>
      <c r="F1162" s="6">
        <v>1.661</v>
      </c>
      <c r="G1162" s="6">
        <v>1.7618</v>
      </c>
      <c r="H1162">
        <f t="shared" si="50"/>
        <v>34.059999999999981</v>
      </c>
      <c r="I1162">
        <f t="shared" si="51"/>
        <v>48.8</v>
      </c>
      <c r="J1162" s="6"/>
      <c r="K1162" s="6"/>
      <c r="L1162" s="6"/>
      <c r="M1162" s="6"/>
      <c r="N1162" s="6"/>
    </row>
    <row r="1163" spans="1:14">
      <c r="A1163" s="5">
        <v>46261</v>
      </c>
      <c r="B1163" s="6">
        <v>1.7038</v>
      </c>
      <c r="C1163" s="6">
        <v>1.8157000000000001</v>
      </c>
      <c r="D1163" s="6">
        <v>2.0003000000000002</v>
      </c>
      <c r="E1163" s="6">
        <v>2.2526999999999999</v>
      </c>
      <c r="F1163" s="6">
        <v>1.6773</v>
      </c>
      <c r="G1163" s="6">
        <v>1.7726</v>
      </c>
      <c r="H1163">
        <f t="shared" si="50"/>
        <v>32.300000000000018</v>
      </c>
      <c r="I1163">
        <f t="shared" si="51"/>
        <v>48.01</v>
      </c>
      <c r="J1163" s="6"/>
      <c r="K1163" s="6"/>
      <c r="L1163" s="6"/>
      <c r="M1163" s="6"/>
      <c r="N1163" s="6"/>
    </row>
    <row r="1164" spans="1:14">
      <c r="A1164" s="5">
        <v>46262</v>
      </c>
      <c r="B1164" s="6">
        <v>1.7057</v>
      </c>
      <c r="C1164" s="6">
        <v>1.8028</v>
      </c>
      <c r="D1164" s="6">
        <v>2.0093999999999999</v>
      </c>
      <c r="E1164" s="6">
        <v>2.2524000000000002</v>
      </c>
      <c r="F1164" s="6">
        <v>1.6748000000000001</v>
      </c>
      <c r="G1164" s="6">
        <v>1.7721</v>
      </c>
      <c r="H1164">
        <f t="shared" si="50"/>
        <v>33.45999999999998</v>
      </c>
      <c r="I1164">
        <f t="shared" si="51"/>
        <v>48.030000000000015</v>
      </c>
      <c r="J1164" s="6"/>
      <c r="K1164" s="6"/>
      <c r="L1164" s="6"/>
      <c r="M1164" s="6"/>
      <c r="N1164" s="6"/>
    </row>
    <row r="1165" spans="1:14">
      <c r="A1165" s="5">
        <v>46265</v>
      </c>
      <c r="B1165" s="6">
        <v>1.7157</v>
      </c>
      <c r="C1165" s="6">
        <v>1.802</v>
      </c>
      <c r="D1165" s="6">
        <v>2.0142000000000002</v>
      </c>
      <c r="E1165" s="6">
        <v>2.2547000000000001</v>
      </c>
      <c r="F1165" s="6">
        <v>1.6725000000000001</v>
      </c>
      <c r="G1165" s="6">
        <v>1.7670999999999999</v>
      </c>
      <c r="H1165">
        <f t="shared" si="50"/>
        <v>34.170000000000009</v>
      </c>
      <c r="I1165">
        <f t="shared" si="51"/>
        <v>48.760000000000026</v>
      </c>
      <c r="J1165" s="6"/>
      <c r="K1165" s="6"/>
      <c r="L1165" s="6"/>
      <c r="M1165" s="6"/>
      <c r="N1165" s="6"/>
    </row>
    <row r="1166" spans="1:14">
      <c r="A1166" s="5">
        <v>46266</v>
      </c>
      <c r="B1166" s="6">
        <v>1.7068000000000001</v>
      </c>
      <c r="C1166" s="6">
        <v>1.8024</v>
      </c>
      <c r="D1166" s="6">
        <v>2.0095999999999998</v>
      </c>
      <c r="E1166" s="6">
        <v>2.2492000000000001</v>
      </c>
      <c r="F1166" s="6">
        <v>1.6637</v>
      </c>
      <c r="G1166" s="6">
        <v>1.7596000000000001</v>
      </c>
      <c r="H1166">
        <f t="shared" si="50"/>
        <v>34.589999999999989</v>
      </c>
      <c r="I1166">
        <f t="shared" si="51"/>
        <v>48.96</v>
      </c>
      <c r="J1166" s="6"/>
      <c r="K1166" s="6"/>
      <c r="L1166" s="6"/>
      <c r="M1166" s="6"/>
      <c r="N1166" s="6"/>
    </row>
    <row r="1167" spans="1:14">
      <c r="A1167" s="5">
        <v>46267</v>
      </c>
      <c r="B1167" s="6">
        <v>1.7029000000000001</v>
      </c>
      <c r="C1167" s="6">
        <v>1.8010999999999999</v>
      </c>
      <c r="D1167" s="6">
        <v>2.0093000000000001</v>
      </c>
      <c r="E1167" s="6">
        <v>2.2303000000000002</v>
      </c>
      <c r="F1167" s="6">
        <v>1.6661999999999999</v>
      </c>
      <c r="G1167" s="6">
        <v>1.7615000000000001</v>
      </c>
      <c r="H1167">
        <f t="shared" si="50"/>
        <v>34.310000000000016</v>
      </c>
      <c r="I1167">
        <f t="shared" si="51"/>
        <v>46.88000000000001</v>
      </c>
      <c r="J1167" s="6"/>
      <c r="K1167" s="6"/>
      <c r="L1167" s="6"/>
      <c r="M1167" s="6"/>
      <c r="N1167" s="6"/>
    </row>
    <row r="1168" spans="1:14">
      <c r="D1168" s="5"/>
      <c r="E1168" s="6"/>
      <c r="F1168" s="6"/>
      <c r="G1168" s="5"/>
      <c r="H1168" s="6"/>
      <c r="I1168" s="6"/>
      <c r="J1168" s="6"/>
      <c r="K1168" s="6"/>
      <c r="L1168" s="6"/>
      <c r="M1168" s="6"/>
      <c r="N1168" s="6"/>
    </row>
    <row r="1169" spans="4:14">
      <c r="D1169" s="5"/>
      <c r="E1169" s="6"/>
      <c r="F1169" s="6"/>
      <c r="G1169" s="5"/>
      <c r="H1169" s="6"/>
      <c r="I1169" s="6"/>
      <c r="J1169" s="6"/>
      <c r="K1169" s="6"/>
      <c r="L1169" s="6"/>
      <c r="M1169" s="6"/>
      <c r="N1169" s="6"/>
    </row>
    <row r="1170" spans="4:14">
      <c r="D1170" s="5"/>
      <c r="E1170" s="6"/>
      <c r="F1170" s="6"/>
      <c r="G1170" s="5"/>
      <c r="H1170" s="6"/>
      <c r="I1170" s="6"/>
      <c r="J1170" s="6"/>
      <c r="K1170" s="6"/>
      <c r="L1170" s="6"/>
      <c r="M1170" s="6"/>
      <c r="N1170" s="6"/>
    </row>
    <row r="1171" spans="4:14">
      <c r="D1171" s="5"/>
      <c r="E1171" s="6"/>
      <c r="F1171" s="6"/>
      <c r="G1171" s="5"/>
      <c r="H1171" s="6"/>
      <c r="I1171" s="6"/>
      <c r="J1171" s="6"/>
      <c r="K1171" s="6"/>
      <c r="L1171" s="6"/>
      <c r="M1171" s="6"/>
      <c r="N1171" s="6"/>
    </row>
    <row r="1172" spans="4:14">
      <c r="D1172" s="5"/>
      <c r="E1172" s="6"/>
      <c r="F1172" s="6"/>
      <c r="G1172" s="5"/>
      <c r="H1172" s="6"/>
      <c r="I1172" s="6"/>
      <c r="J1172" s="6"/>
      <c r="K1172" s="6"/>
      <c r="L1172" s="6"/>
      <c r="M1172" s="6"/>
      <c r="N1172" s="6"/>
    </row>
    <row r="1173" spans="4:14">
      <c r="D1173" s="5"/>
      <c r="E1173" s="6"/>
      <c r="F1173" s="6"/>
      <c r="G1173" s="5"/>
      <c r="H1173" s="6"/>
      <c r="I1173" s="6"/>
      <c r="J1173" s="6"/>
      <c r="K1173" s="6"/>
      <c r="L1173" s="6"/>
      <c r="M1173" s="6"/>
      <c r="N1173" s="6"/>
    </row>
    <row r="1174" spans="4:14">
      <c r="D1174" s="5"/>
      <c r="E1174" s="6"/>
      <c r="F1174" s="6"/>
      <c r="G1174" s="5"/>
      <c r="H1174" s="6"/>
      <c r="I1174" s="6"/>
      <c r="J1174" s="6"/>
      <c r="K1174" s="6"/>
      <c r="L1174" s="6"/>
      <c r="M1174" s="6"/>
      <c r="N1174" s="6"/>
    </row>
    <row r="1175" spans="4:14">
      <c r="D1175" s="5"/>
      <c r="E1175" s="6"/>
      <c r="F1175" s="6"/>
      <c r="G1175" s="5"/>
      <c r="H1175" s="6"/>
      <c r="I1175" s="6"/>
      <c r="J1175" s="6"/>
      <c r="K1175" s="6"/>
      <c r="L1175" s="6"/>
      <c r="M1175" s="6"/>
      <c r="N1175" s="6"/>
    </row>
    <row r="1176" spans="4:14">
      <c r="D1176" s="5"/>
      <c r="E1176" s="6"/>
      <c r="F1176" s="6"/>
      <c r="G1176" s="5"/>
      <c r="H1176" s="6"/>
      <c r="I1176" s="6"/>
      <c r="J1176" s="6"/>
      <c r="K1176" s="6"/>
      <c r="L1176" s="6"/>
      <c r="M1176" s="6"/>
      <c r="N1176" s="6"/>
    </row>
    <row r="1177" spans="4:14">
      <c r="D1177" s="5"/>
      <c r="E1177" s="6"/>
      <c r="F1177" s="6"/>
      <c r="G1177" s="5"/>
      <c r="H1177" s="6"/>
      <c r="I1177" s="6"/>
      <c r="J1177" s="6"/>
      <c r="K1177" s="6"/>
      <c r="L1177" s="6"/>
      <c r="M1177" s="6"/>
      <c r="N1177" s="6"/>
    </row>
    <row r="1178" spans="4:14">
      <c r="D1178" s="5"/>
      <c r="E1178" s="6"/>
      <c r="F1178" s="6"/>
      <c r="G1178" s="5"/>
      <c r="H1178" s="6"/>
      <c r="I1178" s="6"/>
      <c r="J1178" s="6"/>
      <c r="K1178" s="6"/>
      <c r="L1178" s="6"/>
      <c r="M1178" s="6"/>
      <c r="N1178" s="6"/>
    </row>
    <row r="1179" spans="4:14">
      <c r="D1179" s="5"/>
      <c r="E1179" s="6"/>
      <c r="F1179" s="6"/>
      <c r="G1179" s="5"/>
      <c r="H1179" s="6"/>
      <c r="I1179" s="6"/>
      <c r="J1179" s="6"/>
      <c r="K1179" s="6"/>
      <c r="L1179" s="6"/>
      <c r="M1179" s="6"/>
      <c r="N1179" s="6"/>
    </row>
    <row r="1180" spans="4:14">
      <c r="D1180" s="5"/>
      <c r="E1180" s="6"/>
      <c r="F1180" s="6"/>
      <c r="G1180" s="5"/>
      <c r="H1180" s="6"/>
      <c r="I1180" s="6"/>
      <c r="J1180" s="6"/>
      <c r="K1180" s="6"/>
      <c r="L1180" s="6"/>
      <c r="M1180" s="6"/>
      <c r="N1180" s="6"/>
    </row>
    <row r="1181" spans="4:14">
      <c r="D1181" s="5"/>
      <c r="E1181" s="6"/>
      <c r="F1181" s="6"/>
      <c r="G1181" s="5"/>
      <c r="H1181" s="6"/>
      <c r="I1181" s="6"/>
      <c r="J1181" s="6"/>
      <c r="K1181" s="6"/>
      <c r="L1181" s="6"/>
      <c r="M1181" s="6"/>
      <c r="N1181" s="6"/>
    </row>
    <row r="1182" spans="4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4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4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146" activePane="bottomRight" state="frozen"/>
      <selection pane="topRight" activeCell="B1" sqref="B1"/>
      <selection pane="bottomLeft" activeCell="A3" sqref="A3"/>
      <selection pane="bottomRight" activeCell="A1122" sqref="A1122:H1167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3" si="126">AVERAGE(B1076:B1117)</f>
        <v>1.2199647400932878</v>
      </c>
      <c r="D1117" s="14">
        <f t="shared" ref="D1117:D1123" si="127">(B1117/C1117-1)*100</f>
        <v>0.28606588804342969</v>
      </c>
      <c r="E1117" s="14">
        <f t="shared" ref="E1117:E1123" si="128">AVERAGE(D1097:D1117)</f>
        <v>0.34482313169779544</v>
      </c>
      <c r="F1117" s="15" t="str">
        <f t="shared" ref="F1117:F1123" si="129">IF(E1117&gt;0,"上升","下降")</f>
        <v>上升</v>
      </c>
      <c r="G1117" s="14">
        <f t="shared" ref="G1117:G1123" si="130">D1117-D1104</f>
        <v>-0.23080816270193427</v>
      </c>
      <c r="H1117" s="1" t="str">
        <f t="shared" ref="H1117:H1123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8">
      <c r="A1121" s="3">
        <f>财富指数—趋势!A1121</f>
        <v>46203</v>
      </c>
      <c r="B1121" s="12">
        <f>财富指数—趋势!I1121/财富指数—趋势!H1121</f>
        <v>1.2249281327249286</v>
      </c>
      <c r="C1121" s="12">
        <f t="shared" si="126"/>
        <v>1.2205711513954276</v>
      </c>
      <c r="D1121" s="14">
        <f t="shared" si="127"/>
        <v>0.3569625027201262</v>
      </c>
      <c r="E1121" s="14">
        <f t="shared" si="128"/>
        <v>0.34217091777939518</v>
      </c>
      <c r="F1121" s="15" t="str">
        <f t="shared" si="129"/>
        <v>上升</v>
      </c>
      <c r="G1121" s="14">
        <f t="shared" si="130"/>
        <v>1.6242944142663696E-2</v>
      </c>
      <c r="H1121" s="1" t="str">
        <f t="shared" si="131"/>
        <v>领先</v>
      </c>
    </row>
    <row r="1122" spans="1:8">
      <c r="A1122" s="3">
        <f>财富指数—趋势!A1122</f>
        <v>46204</v>
      </c>
      <c r="B1122" s="12">
        <f>财富指数—趋势!I1122/财富指数—趋势!H1122</f>
        <v>1.2239408962442548</v>
      </c>
      <c r="C1122" s="12">
        <f t="shared" si="126"/>
        <v>1.2207291019658604</v>
      </c>
      <c r="D1122" s="14">
        <f t="shared" si="127"/>
        <v>0.26310458833349593</v>
      </c>
      <c r="E1122" s="14">
        <f t="shared" si="128"/>
        <v>0.33329394631898834</v>
      </c>
      <c r="F1122" s="15" t="str">
        <f t="shared" si="129"/>
        <v>上升</v>
      </c>
      <c r="G1122" s="14">
        <f t="shared" si="130"/>
        <v>5.2902087582329393E-2</v>
      </c>
      <c r="H1122" s="1" t="str">
        <f t="shared" si="131"/>
        <v>领先</v>
      </c>
    </row>
    <row r="1123" spans="1:8">
      <c r="A1123" s="3">
        <f>财富指数—趋势!A1123</f>
        <v>46205</v>
      </c>
      <c r="B1123" s="12">
        <f>财富指数—趋势!I1123/财富指数—趋势!H1123</f>
        <v>1.224107806262031</v>
      </c>
      <c r="C1123" s="12">
        <f t="shared" si="126"/>
        <v>1.2208964009962657</v>
      </c>
      <c r="D1123" s="14">
        <f t="shared" si="127"/>
        <v>0.26303667232900896</v>
      </c>
      <c r="E1123" s="14">
        <f t="shared" si="128"/>
        <v>0.3229795838512361</v>
      </c>
      <c r="F1123" s="15" t="str">
        <f t="shared" si="129"/>
        <v>上升</v>
      </c>
      <c r="G1123" s="14">
        <f t="shared" si="130"/>
        <v>0.11301283137663543</v>
      </c>
      <c r="H1123" s="1" t="str">
        <f t="shared" si="131"/>
        <v>领先</v>
      </c>
    </row>
    <row r="1124" spans="1:8">
      <c r="A1124" s="3">
        <f>财富指数—趋势!A1124</f>
        <v>46206</v>
      </c>
      <c r="B1124" s="12">
        <f>财富指数—趋势!I1124/财富指数—趋势!H1124</f>
        <v>1.2238397443958511</v>
      </c>
      <c r="C1124" s="12">
        <f t="shared" ref="C1124:C1160" si="132">AVERAGE(B1083:B1124)</f>
        <v>1.2210724644483635</v>
      </c>
      <c r="D1124" s="14">
        <f t="shared" ref="D1124:D1160" si="133">(B1124/C1124-1)*100</f>
        <v>0.22662700437994232</v>
      </c>
      <c r="E1124" s="14">
        <f t="shared" ref="E1124:E1160" si="134">AVERAGE(D1104:D1124)</f>
        <v>0.31115445044060414</v>
      </c>
      <c r="F1124" s="15" t="str">
        <f t="shared" ref="F1124:F1160" si="135">IF(E1124&gt;0,"上升","下降")</f>
        <v>上升</v>
      </c>
      <c r="G1124" s="14">
        <f t="shared" ref="G1124:G1160" si="136">D1124-D1111</f>
        <v>6.1771786603248557E-2</v>
      </c>
      <c r="H1124" s="1" t="str">
        <f t="shared" ref="H1124:H1160" si="137">IF(AND(D1124&gt;0,G1124&gt;0),"领先",IF(AND(D1124&lt;=0,G1124&gt;0),"改善",IF(AND(D1124&gt;0,G1124&lt;=0),"减弱","滞后")))</f>
        <v>领先</v>
      </c>
    </row>
    <row r="1125" spans="1:8">
      <c r="A1125" s="3">
        <f>财富指数—趋势!A1125</f>
        <v>46209</v>
      </c>
      <c r="B1125" s="12">
        <f>财富指数—趋势!I1125/财富指数—趋势!H1125</f>
        <v>1.2243476420902799</v>
      </c>
      <c r="C1125" s="12">
        <f t="shared" si="132"/>
        <v>1.2212635567715246</v>
      </c>
      <c r="D1125" s="14">
        <f t="shared" si="133"/>
        <v>0.25253233027833222</v>
      </c>
      <c r="E1125" s="14">
        <f t="shared" si="134"/>
        <v>0.29856674946598355</v>
      </c>
      <c r="F1125" s="15" t="str">
        <f t="shared" si="135"/>
        <v>上升</v>
      </c>
      <c r="G1125" s="14">
        <f t="shared" si="136"/>
        <v>0.10020762892610779</v>
      </c>
      <c r="H1125" s="1" t="str">
        <f t="shared" si="137"/>
        <v>领先</v>
      </c>
    </row>
    <row r="1126" spans="1:8">
      <c r="A1126" s="3">
        <f>财富指数—趋势!A1126</f>
        <v>46210</v>
      </c>
      <c r="B1126" s="12">
        <f>财富指数—趋势!I1126/财富指数—趋势!H1126</f>
        <v>1.224359580881597</v>
      </c>
      <c r="C1126" s="12">
        <f t="shared" si="132"/>
        <v>1.221454830712172</v>
      </c>
      <c r="D1126" s="14">
        <f t="shared" si="133"/>
        <v>0.23781069069344074</v>
      </c>
      <c r="E1126" s="14">
        <f t="shared" si="134"/>
        <v>0.28437642385432566</v>
      </c>
      <c r="F1126" s="15" t="str">
        <f t="shared" si="135"/>
        <v>上升</v>
      </c>
      <c r="G1126" s="14">
        <f t="shared" si="136"/>
        <v>-7.5759948802378574E-3</v>
      </c>
      <c r="H1126" s="1" t="str">
        <f t="shared" si="137"/>
        <v>减弱</v>
      </c>
    </row>
    <row r="1127" spans="1:8">
      <c r="A1127" s="3">
        <f>财富指数—趋势!A1127</f>
        <v>46211</v>
      </c>
      <c r="B1127" s="12">
        <f>财富指数—趋势!I1127/财富指数—趋势!H1127</f>
        <v>1.2248306554631363</v>
      </c>
      <c r="C1127" s="12">
        <f t="shared" si="132"/>
        <v>1.221654438462537</v>
      </c>
      <c r="D1127" s="14">
        <f t="shared" si="133"/>
        <v>0.25999307992501386</v>
      </c>
      <c r="E1127" s="14">
        <f t="shared" si="134"/>
        <v>0.27403591716468439</v>
      </c>
      <c r="F1127" s="15" t="str">
        <f t="shared" si="135"/>
        <v>上升</v>
      </c>
      <c r="G1127" s="14">
        <f t="shared" si="136"/>
        <v>-4.0692248585716406E-2</v>
      </c>
      <c r="H1127" s="1" t="str">
        <f t="shared" si="137"/>
        <v>减弱</v>
      </c>
    </row>
    <row r="1128" spans="1:8">
      <c r="A1128" s="3">
        <f>财富指数—趋势!A1128</f>
        <v>46212</v>
      </c>
      <c r="B1128" s="12">
        <f>财富指数—趋势!I1128/财富指数—趋势!H1128</f>
        <v>1.2248690062576437</v>
      </c>
      <c r="C1128" s="12">
        <f t="shared" si="132"/>
        <v>1.2218489977711813</v>
      </c>
      <c r="D1128" s="14">
        <f t="shared" si="133"/>
        <v>0.24716707972682883</v>
      </c>
      <c r="E1128" s="14">
        <f t="shared" si="134"/>
        <v>0.26505623165309145</v>
      </c>
      <c r="F1128" s="15" t="str">
        <f t="shared" si="135"/>
        <v>上升</v>
      </c>
      <c r="G1128" s="14">
        <f t="shared" si="136"/>
        <v>-5.0617635273142447E-2</v>
      </c>
      <c r="H1128" s="1" t="str">
        <f t="shared" si="137"/>
        <v>减弱</v>
      </c>
    </row>
    <row r="1129" spans="1:8">
      <c r="A1129" s="3">
        <f>财富指数—趋势!A1129</f>
        <v>46213</v>
      </c>
      <c r="B1129" s="12">
        <f>财富指数—趋势!I1129/财富指数—趋势!H1129</f>
        <v>1.2249197039870656</v>
      </c>
      <c r="C1129" s="12">
        <f t="shared" si="132"/>
        <v>1.2220382607341365</v>
      </c>
      <c r="D1129" s="14">
        <f t="shared" si="133"/>
        <v>0.23578993764059586</v>
      </c>
      <c r="E1129" s="14">
        <f t="shared" si="134"/>
        <v>0.26005958303705018</v>
      </c>
      <c r="F1129" s="15" t="str">
        <f t="shared" si="135"/>
        <v>上升</v>
      </c>
      <c r="G1129" s="14">
        <f t="shared" si="136"/>
        <v>-6.6164828281434218E-2</v>
      </c>
      <c r="H1129" s="1" t="str">
        <f t="shared" si="137"/>
        <v>减弱</v>
      </c>
    </row>
    <row r="1130" spans="1:8">
      <c r="A1130" s="3">
        <f>财富指数—趋势!A1130</f>
        <v>46216</v>
      </c>
      <c r="B1130" s="12">
        <f>财富指数—趋势!I1130/财富指数—趋势!H1130</f>
        <v>1.2253756014874362</v>
      </c>
      <c r="C1130" s="12">
        <f t="shared" si="132"/>
        <v>1.2222232422963262</v>
      </c>
      <c r="D1130" s="14">
        <f t="shared" si="133"/>
        <v>0.25792008219278628</v>
      </c>
      <c r="E1130" s="14">
        <f t="shared" si="134"/>
        <v>0.26233184881998445</v>
      </c>
      <c r="F1130" s="15" t="str">
        <f t="shared" si="135"/>
        <v>上升</v>
      </c>
      <c r="G1130" s="14">
        <f t="shared" si="136"/>
        <v>-2.8145805850643413E-2</v>
      </c>
      <c r="H1130" s="1" t="str">
        <f t="shared" si="137"/>
        <v>减弱</v>
      </c>
    </row>
    <row r="1131" spans="1:8">
      <c r="A1131" s="3">
        <f>财富指数—趋势!A1131</f>
        <v>46217</v>
      </c>
      <c r="B1131" s="12">
        <f>财富指数—趋势!I1131/财富指数—趋势!H1131</f>
        <v>1.2249854820868782</v>
      </c>
      <c r="C1131" s="12">
        <f t="shared" si="132"/>
        <v>1.2223996236028751</v>
      </c>
      <c r="D1131" s="14">
        <f t="shared" si="133"/>
        <v>0.21153953535928416</v>
      </c>
      <c r="E1131" s="14">
        <f t="shared" si="134"/>
        <v>0.26526116760126589</v>
      </c>
      <c r="F1131" s="15" t="str">
        <f t="shared" si="135"/>
        <v>上升</v>
      </c>
      <c r="G1131" s="14">
        <f t="shared" si="136"/>
        <v>-9.9804204035303101E-2</v>
      </c>
      <c r="H1131" s="1" t="str">
        <f t="shared" si="137"/>
        <v>减弱</v>
      </c>
    </row>
    <row r="1132" spans="1:8">
      <c r="A1132" s="3">
        <f>财富指数—趋势!A1132</f>
        <v>46218</v>
      </c>
      <c r="B1132" s="12">
        <f>财富指数—趋势!I1132/财富指数—趋势!H1132</f>
        <v>1.2255465031006534</v>
      </c>
      <c r="C1132" s="12">
        <f t="shared" si="132"/>
        <v>1.2225878297331483</v>
      </c>
      <c r="D1132" s="14">
        <f t="shared" si="133"/>
        <v>0.24200088497126071</v>
      </c>
      <c r="E1132" s="14">
        <f t="shared" si="134"/>
        <v>0.26893477080100719</v>
      </c>
      <c r="F1132" s="15" t="str">
        <f t="shared" si="135"/>
        <v>上升</v>
      </c>
      <c r="G1132" s="14">
        <f t="shared" si="136"/>
        <v>-8.8678818137122306E-2</v>
      </c>
      <c r="H1132" s="1" t="str">
        <f t="shared" si="137"/>
        <v>减弱</v>
      </c>
    </row>
    <row r="1133" spans="1:8">
      <c r="A1133" s="3">
        <f>财富指数—趋势!A1133</f>
        <v>46219</v>
      </c>
      <c r="B1133" s="12">
        <f>财富指数—趋势!I1133/财富指数—趋势!H1133</f>
        <v>1.2255185691542203</v>
      </c>
      <c r="C1133" s="12">
        <f t="shared" si="132"/>
        <v>1.2227666834565671</v>
      </c>
      <c r="D1133" s="14">
        <f t="shared" si="133"/>
        <v>0.22505402992123447</v>
      </c>
      <c r="E1133" s="14">
        <f t="shared" si="134"/>
        <v>0.27239807216143624</v>
      </c>
      <c r="F1133" s="15" t="str">
        <f t="shared" si="135"/>
        <v>上升</v>
      </c>
      <c r="G1133" s="14">
        <f t="shared" si="136"/>
        <v>-0.14186624144476578</v>
      </c>
      <c r="H1133" s="1" t="str">
        <f t="shared" si="137"/>
        <v>减弱</v>
      </c>
    </row>
    <row r="1134" spans="1:8">
      <c r="A1134" s="3">
        <f>财富指数—趋势!A1134</f>
        <v>46220</v>
      </c>
      <c r="B1134" s="12">
        <f>财富指数—趋势!I1134/财富指数—趋势!H1134</f>
        <v>1.2258371356750992</v>
      </c>
      <c r="C1134" s="12">
        <f t="shared" si="132"/>
        <v>1.2229415362007221</v>
      </c>
      <c r="D1134" s="14">
        <f t="shared" si="133"/>
        <v>0.23677333614595675</v>
      </c>
      <c r="E1134" s="14">
        <f t="shared" si="134"/>
        <v>0.27198791266487804</v>
      </c>
      <c r="F1134" s="15" t="str">
        <f t="shared" si="135"/>
        <v>上升</v>
      </c>
      <c r="G1134" s="14">
        <f t="shared" si="136"/>
        <v>-0.12018916657416945</v>
      </c>
      <c r="H1134" s="1" t="str">
        <f t="shared" si="137"/>
        <v>减弱</v>
      </c>
    </row>
    <row r="1135" spans="1:8">
      <c r="A1135" s="3">
        <f>财富指数—趋势!A1135</f>
        <v>46223</v>
      </c>
      <c r="B1135" s="12">
        <f>财富指数—趋势!I1135/财富指数—趋势!H1135</f>
        <v>1.2257229210198703</v>
      </c>
      <c r="C1135" s="12">
        <f t="shared" si="132"/>
        <v>1.2231142031013387</v>
      </c>
      <c r="D1135" s="14">
        <f t="shared" si="133"/>
        <v>0.21328490110874565</v>
      </c>
      <c r="E1135" s="14">
        <f t="shared" si="134"/>
        <v>0.26782598755049786</v>
      </c>
      <c r="F1135" s="15" t="str">
        <f t="shared" si="135"/>
        <v>上升</v>
      </c>
      <c r="G1135" s="14">
        <f t="shared" si="136"/>
        <v>-4.9819687224750275E-2</v>
      </c>
      <c r="H1135" s="1" t="str">
        <f t="shared" si="137"/>
        <v>减弱</v>
      </c>
    </row>
    <row r="1136" spans="1:8">
      <c r="A1136" s="3">
        <f>财富指数—趋势!A1136</f>
        <v>46224</v>
      </c>
      <c r="B1136" s="12">
        <f>财富指数—趋势!I1136/财富指数—趋势!H1136</f>
        <v>1.2261040400633978</v>
      </c>
      <c r="C1136" s="12">
        <f t="shared" si="132"/>
        <v>1.223291799362821</v>
      </c>
      <c r="D1136" s="14">
        <f t="shared" si="133"/>
        <v>0.22989124116108428</v>
      </c>
      <c r="E1136" s="14">
        <f t="shared" si="134"/>
        <v>0.26459296498674129</v>
      </c>
      <c r="F1136" s="15" t="str">
        <f t="shared" si="135"/>
        <v>上升</v>
      </c>
      <c r="G1136" s="14">
        <f t="shared" si="136"/>
        <v>-3.3145431167924677E-2</v>
      </c>
      <c r="H1136" s="1" t="str">
        <f t="shared" si="137"/>
        <v>减弱</v>
      </c>
    </row>
    <row r="1137" spans="1:8">
      <c r="A1137" s="3">
        <f>财富指数—趋势!A1137</f>
        <v>46225</v>
      </c>
      <c r="B1137" s="12">
        <f>财富指数—趋势!I1137/财富指数—趋势!H1137</f>
        <v>1.2266451027746115</v>
      </c>
      <c r="C1137" s="12">
        <f t="shared" si="132"/>
        <v>1.2234790258502632</v>
      </c>
      <c r="D1137" s="14">
        <f t="shared" si="133"/>
        <v>0.25877655909531949</v>
      </c>
      <c r="E1137" s="14">
        <f t="shared" si="134"/>
        <v>0.26253685989975512</v>
      </c>
      <c r="F1137" s="15" t="str">
        <f t="shared" si="135"/>
        <v>上升</v>
      </c>
      <c r="G1137" s="14">
        <f t="shared" si="136"/>
        <v>3.2149554715377171E-2</v>
      </c>
      <c r="H1137" s="1" t="str">
        <f t="shared" si="137"/>
        <v>领先</v>
      </c>
    </row>
    <row r="1138" spans="1:8">
      <c r="A1138" s="3">
        <f>财富指数—趋势!A1138</f>
        <v>46226</v>
      </c>
      <c r="B1138" s="12">
        <f>财富指数—趋势!I1138/财富指数—趋势!H1138</f>
        <v>1.2271693384853157</v>
      </c>
      <c r="C1138" s="12">
        <f t="shared" si="132"/>
        <v>1.2236778840749536</v>
      </c>
      <c r="D1138" s="14">
        <f t="shared" si="133"/>
        <v>0.28532463124488761</v>
      </c>
      <c r="E1138" s="14">
        <f t="shared" si="134"/>
        <v>0.26250156195696739</v>
      </c>
      <c r="F1138" s="15" t="str">
        <f t="shared" si="135"/>
        <v>上升</v>
      </c>
      <c r="G1138" s="14">
        <f t="shared" si="136"/>
        <v>3.2792300966555388E-2</v>
      </c>
      <c r="H1138" s="1" t="str">
        <f t="shared" si="137"/>
        <v>领先</v>
      </c>
    </row>
    <row r="1139" spans="1:8">
      <c r="A1139" s="3">
        <f>财富指数—趋势!A1139</f>
        <v>46227</v>
      </c>
      <c r="B1139" s="12">
        <f>财富指数—趋势!I1139/财富指数—趋势!H1139</f>
        <v>1.2274892407194811</v>
      </c>
      <c r="C1139" s="12">
        <f t="shared" si="132"/>
        <v>1.2238713549561109</v>
      </c>
      <c r="D1139" s="14">
        <f t="shared" si="133"/>
        <v>0.29560997148265766</v>
      </c>
      <c r="E1139" s="14">
        <f t="shared" si="134"/>
        <v>0.26175233491354216</v>
      </c>
      <c r="F1139" s="15" t="str">
        <f t="shared" si="135"/>
        <v>上升</v>
      </c>
      <c r="G1139" s="14">
        <f t="shared" si="136"/>
        <v>5.7799280789216922E-2</v>
      </c>
      <c r="H1139" s="1" t="str">
        <f t="shared" si="137"/>
        <v>领先</v>
      </c>
    </row>
    <row r="1140" spans="1:8">
      <c r="A1140" s="3">
        <f>财富指数—趋势!A1140</f>
        <v>46230</v>
      </c>
      <c r="B1140" s="12">
        <f>财富指数—趋势!I1140/财富指数—趋势!H1140</f>
        <v>1.2277468408314112</v>
      </c>
      <c r="C1140" s="12">
        <f t="shared" si="132"/>
        <v>1.2240633384793067</v>
      </c>
      <c r="D1140" s="14">
        <f t="shared" si="133"/>
        <v>0.30092416268920896</v>
      </c>
      <c r="E1140" s="14">
        <f t="shared" si="134"/>
        <v>0.260335404417391</v>
      </c>
      <c r="F1140" s="15" t="str">
        <f t="shared" si="135"/>
        <v>上升</v>
      </c>
      <c r="G1140" s="14">
        <f t="shared" si="136"/>
        <v>4.0931082764195104E-2</v>
      </c>
      <c r="H1140" s="1" t="str">
        <f t="shared" si="137"/>
        <v>领先</v>
      </c>
    </row>
    <row r="1141" spans="1:8">
      <c r="A1141" s="3">
        <f>财富指数—趋势!A1141</f>
        <v>46231</v>
      </c>
      <c r="B1141" s="12">
        <f>财富指数—趋势!I1141/财富指数—趋势!H1141</f>
        <v>1.2281239644957753</v>
      </c>
      <c r="C1141" s="12">
        <f t="shared" si="132"/>
        <v>1.2242452535976627</v>
      </c>
      <c r="D1141" s="14">
        <f t="shared" si="133"/>
        <v>0.31682466292717315</v>
      </c>
      <c r="E1141" s="14">
        <f t="shared" si="134"/>
        <v>0.25794989925363732</v>
      </c>
      <c r="F1141" s="15" t="str">
        <f t="shared" si="135"/>
        <v>上升</v>
      </c>
      <c r="G1141" s="14">
        <f t="shared" si="136"/>
        <v>6.965758320034432E-2</v>
      </c>
      <c r="H1141" s="1" t="str">
        <f t="shared" si="137"/>
        <v>领先</v>
      </c>
    </row>
    <row r="1142" spans="1:8">
      <c r="A1142" s="3">
        <f>财富指数—趋势!A1142</f>
        <v>46232</v>
      </c>
      <c r="B1142" s="12">
        <f>财富指数—趋势!I1142/财富指数—趋势!H1142</f>
        <v>1.2278599490210236</v>
      </c>
      <c r="C1142" s="12">
        <f t="shared" si="132"/>
        <v>1.2243963536432145</v>
      </c>
      <c r="D1142" s="14">
        <f t="shared" si="133"/>
        <v>0.28288187624072592</v>
      </c>
      <c r="E1142" s="14">
        <f t="shared" si="134"/>
        <v>0.25442225037366589</v>
      </c>
      <c r="F1142" s="15" t="str">
        <f t="shared" si="135"/>
        <v>上升</v>
      </c>
      <c r="G1142" s="14">
        <f t="shared" si="136"/>
        <v>4.7091938600130057E-2</v>
      </c>
      <c r="H1142" s="1" t="str">
        <f t="shared" si="137"/>
        <v>领先</v>
      </c>
    </row>
    <row r="1143" spans="1:8">
      <c r="A1143" s="3">
        <f>财富指数—趋势!A1143</f>
        <v>46233</v>
      </c>
      <c r="B1143" s="12">
        <f>财富指数—趋势!I1143/财富指数—趋势!H1143</f>
        <v>1.2282784165464962</v>
      </c>
      <c r="C1143" s="12">
        <f t="shared" si="132"/>
        <v>1.2245428508624685</v>
      </c>
      <c r="D1143" s="14">
        <f t="shared" si="133"/>
        <v>0.30505797991442485</v>
      </c>
      <c r="E1143" s="14">
        <f t="shared" si="134"/>
        <v>0.25642003092513871</v>
      </c>
      <c r="F1143" s="15" t="str">
        <f t="shared" si="135"/>
        <v>上升</v>
      </c>
      <c r="G1143" s="14">
        <f t="shared" si="136"/>
        <v>4.7137897721638566E-2</v>
      </c>
      <c r="H1143" s="1" t="str">
        <f t="shared" si="137"/>
        <v>领先</v>
      </c>
    </row>
    <row r="1144" spans="1:8">
      <c r="A1144" s="3">
        <f>财富指数—趋势!A1144</f>
        <v>46234</v>
      </c>
      <c r="B1144" s="12">
        <f>财富指数—趋势!I1144/财富指数—趋势!H1144</f>
        <v>1.2287872172563767</v>
      </c>
      <c r="C1144" s="12">
        <f t="shared" si="132"/>
        <v>1.2246856257267207</v>
      </c>
      <c r="D1144" s="14">
        <f t="shared" si="133"/>
        <v>0.33490974691747777</v>
      </c>
      <c r="E1144" s="14">
        <f t="shared" si="134"/>
        <v>0.25984255828649439</v>
      </c>
      <c r="F1144" s="15" t="str">
        <f t="shared" si="135"/>
        <v>上升</v>
      </c>
      <c r="G1144" s="14">
        <f t="shared" si="136"/>
        <v>0.12337021155819361</v>
      </c>
      <c r="H1144" s="1" t="str">
        <f t="shared" si="137"/>
        <v>领先</v>
      </c>
    </row>
    <row r="1145" spans="1:8">
      <c r="A1145" s="3">
        <f>财富指数—趋势!A1145</f>
        <v>46237</v>
      </c>
      <c r="B1145" s="12">
        <f>财富指数—趋势!I1145/财富指数—趋势!H1145</f>
        <v>1.2290452978574482</v>
      </c>
      <c r="C1145" s="12">
        <f t="shared" si="132"/>
        <v>1.2248286792519647</v>
      </c>
      <c r="D1145" s="14">
        <f t="shared" si="133"/>
        <v>0.34426191000513917</v>
      </c>
      <c r="E1145" s="14">
        <f t="shared" si="134"/>
        <v>0.2654442204591228</v>
      </c>
      <c r="F1145" s="15" t="str">
        <f t="shared" si="135"/>
        <v>上升</v>
      </c>
      <c r="G1145" s="14">
        <f t="shared" si="136"/>
        <v>0.10226102503387846</v>
      </c>
      <c r="H1145" s="1" t="str">
        <f t="shared" si="137"/>
        <v>领先</v>
      </c>
    </row>
    <row r="1146" spans="1:8">
      <c r="A1146" s="3">
        <f>财富指数—趋势!A1146</f>
        <v>46238</v>
      </c>
      <c r="B1146" s="12">
        <f>财富指数—趋势!I1146/财富指数—趋势!H1146</f>
        <v>1.2286780889407829</v>
      </c>
      <c r="C1146" s="12">
        <f t="shared" si="132"/>
        <v>1.2249430901170555</v>
      </c>
      <c r="D1146" s="14">
        <f t="shared" si="133"/>
        <v>0.30491202847395815</v>
      </c>
      <c r="E1146" s="14">
        <f t="shared" si="134"/>
        <v>0.26793849180177165</v>
      </c>
      <c r="F1146" s="15" t="str">
        <f t="shared" si="135"/>
        <v>上升</v>
      </c>
      <c r="G1146" s="14">
        <f t="shared" si="136"/>
        <v>7.9857998552723686E-2</v>
      </c>
      <c r="H1146" s="1" t="str">
        <f t="shared" si="137"/>
        <v>领先</v>
      </c>
    </row>
    <row r="1147" spans="1:8">
      <c r="A1147" s="3">
        <f>财富指数—趋势!A1147</f>
        <v>46239</v>
      </c>
      <c r="B1147" s="12">
        <f>财富指数—趋势!I1147/财富指数—趋势!H1147</f>
        <v>1.2287913363518139</v>
      </c>
      <c r="C1147" s="12">
        <f t="shared" si="132"/>
        <v>1.2250470951795089</v>
      </c>
      <c r="D1147" s="14">
        <f t="shared" si="133"/>
        <v>0.30564059023023837</v>
      </c>
      <c r="E1147" s="14">
        <f t="shared" si="134"/>
        <v>0.2711684870178096</v>
      </c>
      <c r="F1147" s="15" t="str">
        <f t="shared" si="135"/>
        <v>上升</v>
      </c>
      <c r="G1147" s="14">
        <f t="shared" si="136"/>
        <v>6.8867254084281626E-2</v>
      </c>
      <c r="H1147" s="1" t="str">
        <f t="shared" si="137"/>
        <v>领先</v>
      </c>
    </row>
    <row r="1148" spans="1:8">
      <c r="A1148" s="3">
        <f>财富指数—趋势!A1148</f>
        <v>46240</v>
      </c>
      <c r="B1148" s="12">
        <f>财富指数—趋势!I1148/财富指数—趋势!H1148</f>
        <v>1.2294701221393265</v>
      </c>
      <c r="C1148" s="12">
        <f t="shared" si="132"/>
        <v>1.2251773007545361</v>
      </c>
      <c r="D1148" s="14">
        <f t="shared" si="133"/>
        <v>0.3503836858670617</v>
      </c>
      <c r="E1148" s="14">
        <f t="shared" si="134"/>
        <v>0.27547280158647858</v>
      </c>
      <c r="F1148" s="15" t="str">
        <f t="shared" si="135"/>
        <v>上升</v>
      </c>
      <c r="G1148" s="14">
        <f t="shared" si="136"/>
        <v>0.13709878475831605</v>
      </c>
      <c r="H1148" s="1" t="str">
        <f t="shared" si="137"/>
        <v>领先</v>
      </c>
    </row>
    <row r="1149" spans="1:8">
      <c r="A1149" s="3">
        <f>财富指数—趋势!A1149</f>
        <v>46241</v>
      </c>
      <c r="B1149" s="12">
        <f>财富指数—趋势!I1149/财富指数—趋势!H1149</f>
        <v>1.2299983414846019</v>
      </c>
      <c r="C1149" s="12">
        <f t="shared" si="132"/>
        <v>1.2253255898383817</v>
      </c>
      <c r="D1149" s="14">
        <f t="shared" si="133"/>
        <v>0.38134775646336827</v>
      </c>
      <c r="E1149" s="14">
        <f t="shared" si="134"/>
        <v>0.28186235762155187</v>
      </c>
      <c r="F1149" s="15" t="str">
        <f t="shared" si="135"/>
        <v>上升</v>
      </c>
      <c r="G1149" s="14">
        <f t="shared" si="136"/>
        <v>0.15145651530228399</v>
      </c>
      <c r="H1149" s="1" t="str">
        <f t="shared" si="137"/>
        <v>领先</v>
      </c>
    </row>
    <row r="1150" spans="1:8">
      <c r="A1150" s="3">
        <f>财富指数—趋势!A1150</f>
        <v>46244</v>
      </c>
      <c r="B1150" s="12">
        <f>财富指数—趋势!I1150/财富指数—趋势!H1150</f>
        <v>1.230707601261892</v>
      </c>
      <c r="C1150" s="12">
        <f t="shared" si="132"/>
        <v>1.2255128599518861</v>
      </c>
      <c r="D1150" s="14">
        <f t="shared" si="133"/>
        <v>0.42388305172169627</v>
      </c>
      <c r="E1150" s="14">
        <f t="shared" si="134"/>
        <v>0.29081917257779477</v>
      </c>
      <c r="F1150" s="15" t="str">
        <f t="shared" si="135"/>
        <v>上升</v>
      </c>
      <c r="G1150" s="14">
        <f t="shared" si="136"/>
        <v>0.16510649262637678</v>
      </c>
      <c r="H1150" s="1" t="str">
        <f t="shared" si="137"/>
        <v>领先</v>
      </c>
    </row>
    <row r="1151" spans="1:8">
      <c r="A1151" s="3">
        <f>财富指数—趋势!A1151</f>
        <v>46245</v>
      </c>
      <c r="B1151" s="12">
        <f>财富指数—趋势!I1151/财富指数—趋势!H1151</f>
        <v>1.230929211287324</v>
      </c>
      <c r="C1151" s="12">
        <f t="shared" si="132"/>
        <v>1.2257390612215786</v>
      </c>
      <c r="D1151" s="14">
        <f t="shared" si="133"/>
        <v>0.42343025770696929</v>
      </c>
      <c r="E1151" s="14">
        <f t="shared" si="134"/>
        <v>0.29870060950704158</v>
      </c>
      <c r="F1151" s="15" t="str">
        <f t="shared" si="135"/>
        <v>上升</v>
      </c>
      <c r="G1151" s="14">
        <f t="shared" si="136"/>
        <v>0.13810562646208169</v>
      </c>
      <c r="H1151" s="1" t="str">
        <f t="shared" si="137"/>
        <v>领先</v>
      </c>
    </row>
    <row r="1152" spans="1:8">
      <c r="A1152" s="3">
        <f>财富指数—趋势!A1152</f>
        <v>46246</v>
      </c>
      <c r="B1152" s="12">
        <f>财富指数—趋势!I1152/财富指数—趋势!H1152</f>
        <v>1.231571726009147</v>
      </c>
      <c r="C1152" s="12">
        <f t="shared" si="132"/>
        <v>1.225994421414546</v>
      </c>
      <c r="D1152" s="14">
        <f t="shared" si="133"/>
        <v>0.45492087869094533</v>
      </c>
      <c r="E1152" s="14">
        <f t="shared" si="134"/>
        <v>0.31029019728473972</v>
      </c>
      <c r="F1152" s="15" t="str">
        <f t="shared" si="135"/>
        <v>上升</v>
      </c>
      <c r="G1152" s="14">
        <f t="shared" si="136"/>
        <v>0.15931090720828767</v>
      </c>
      <c r="H1152" s="1" t="str">
        <f t="shared" si="137"/>
        <v>领先</v>
      </c>
    </row>
    <row r="1153" spans="1:8">
      <c r="A1153" s="3">
        <f>财富指数—趋势!A1153</f>
        <v>46247</v>
      </c>
      <c r="B1153" s="12">
        <f>财富指数—趋势!I1153/财富指数—趋势!H1153</f>
        <v>1.2322742053194715</v>
      </c>
      <c r="C1153" s="12">
        <f t="shared" si="132"/>
        <v>1.2262592741253275</v>
      </c>
      <c r="D1153" s="14">
        <f t="shared" si="133"/>
        <v>0.49051055686688549</v>
      </c>
      <c r="E1153" s="14">
        <f t="shared" si="134"/>
        <v>0.32212399118453139</v>
      </c>
      <c r="F1153" s="15" t="str">
        <f t="shared" si="135"/>
        <v>上升</v>
      </c>
      <c r="G1153" s="14">
        <f t="shared" si="136"/>
        <v>0.18958639417767653</v>
      </c>
      <c r="H1153" s="1" t="str">
        <f t="shared" si="137"/>
        <v>领先</v>
      </c>
    </row>
    <row r="1154" spans="1:8">
      <c r="A1154" s="3">
        <f>财富指数—趋势!A1154</f>
        <v>46248</v>
      </c>
      <c r="B1154" s="12">
        <f>财富指数—趋势!I1154/财富指数—趋势!H1154</f>
        <v>1.2327550818838022</v>
      </c>
      <c r="C1154" s="12">
        <f t="shared" si="132"/>
        <v>1.2265364097798706</v>
      </c>
      <c r="D1154" s="14">
        <f t="shared" si="133"/>
        <v>0.50701080329509374</v>
      </c>
      <c r="E1154" s="14">
        <f t="shared" si="134"/>
        <v>0.33555050420233418</v>
      </c>
      <c r="F1154" s="15" t="str">
        <f t="shared" si="135"/>
        <v>上升</v>
      </c>
      <c r="G1154" s="14">
        <f t="shared" si="136"/>
        <v>0.19018614036792059</v>
      </c>
      <c r="H1154" s="1" t="str">
        <f t="shared" si="137"/>
        <v>领先</v>
      </c>
    </row>
    <row r="1155" spans="1:8">
      <c r="A1155" s="3">
        <f>财富指数—趋势!A1155</f>
        <v>46251</v>
      </c>
      <c r="B1155" s="12">
        <f>财富指数—趋势!I1155/财富指数—趋势!H1155</f>
        <v>1.2335220547265409</v>
      </c>
      <c r="C1155" s="12">
        <f t="shared" si="132"/>
        <v>1.2268012742647396</v>
      </c>
      <c r="D1155" s="14">
        <f t="shared" si="133"/>
        <v>0.54782959577779344</v>
      </c>
      <c r="E1155" s="14">
        <f t="shared" si="134"/>
        <v>0.35036270704194544</v>
      </c>
      <c r="F1155" s="15" t="str">
        <f t="shared" si="135"/>
        <v>上升</v>
      </c>
      <c r="G1155" s="14">
        <f t="shared" si="136"/>
        <v>0.26494771953706753</v>
      </c>
      <c r="H1155" s="1" t="str">
        <f t="shared" si="137"/>
        <v>领先</v>
      </c>
    </row>
    <row r="1156" spans="1:8">
      <c r="A1156" s="3">
        <f>财富指数—趋势!A1156</f>
        <v>46252</v>
      </c>
      <c r="B1156" s="12">
        <f>财富指数—趋势!I1156/财富指数—趋势!H1156</f>
        <v>1.2348581802808718</v>
      </c>
      <c r="C1156" s="12">
        <f t="shared" si="132"/>
        <v>1.2270781496596446</v>
      </c>
      <c r="D1156" s="14">
        <f t="shared" si="133"/>
        <v>0.63402894293123069</v>
      </c>
      <c r="E1156" s="14">
        <f t="shared" si="134"/>
        <v>0.37039813760492091</v>
      </c>
      <c r="F1156" s="15" t="str">
        <f t="shared" si="135"/>
        <v>上升</v>
      </c>
      <c r="G1156" s="14">
        <f t="shared" si="136"/>
        <v>0.32897096301680584</v>
      </c>
      <c r="H1156" s="1" t="str">
        <f t="shared" si="137"/>
        <v>领先</v>
      </c>
    </row>
    <row r="1157" spans="1:8">
      <c r="A1157" s="3">
        <f>财富指数—趋势!A1157</f>
        <v>46253</v>
      </c>
      <c r="B1157" s="12">
        <f>财富指数—趋势!I1157/财富指数—趋势!H1157</f>
        <v>1.235460624358325</v>
      </c>
      <c r="C1157" s="12">
        <f t="shared" si="132"/>
        <v>1.227366574583755</v>
      </c>
      <c r="D1157" s="14">
        <f t="shared" si="133"/>
        <v>0.65946473874889389</v>
      </c>
      <c r="E1157" s="14">
        <f t="shared" si="134"/>
        <v>0.39085401844243572</v>
      </c>
      <c r="F1157" s="15" t="str">
        <f t="shared" si="135"/>
        <v>上升</v>
      </c>
      <c r="G1157" s="14">
        <f t="shared" si="136"/>
        <v>0.32455499183141612</v>
      </c>
      <c r="H1157" s="1" t="str">
        <f t="shared" si="137"/>
        <v>领先</v>
      </c>
    </row>
    <row r="1158" spans="1:8">
      <c r="A1158" s="3">
        <f>财富指数—趋势!A1158</f>
        <v>46254</v>
      </c>
      <c r="B1158" s="12">
        <f>财富指数—趋势!I1158/财富指数—趋势!H1158</f>
        <v>1.2350534419196375</v>
      </c>
      <c r="C1158" s="12">
        <f t="shared" si="132"/>
        <v>1.227640803731435</v>
      </c>
      <c r="D1158" s="14">
        <f t="shared" si="133"/>
        <v>0.60381164960237044</v>
      </c>
      <c r="E1158" s="14">
        <f t="shared" si="134"/>
        <v>0.40728426084753333</v>
      </c>
      <c r="F1158" s="15" t="str">
        <f t="shared" si="135"/>
        <v>上升</v>
      </c>
      <c r="G1158" s="14">
        <f t="shared" si="136"/>
        <v>0.25954973959723127</v>
      </c>
      <c r="H1158" s="1" t="str">
        <f t="shared" si="137"/>
        <v>领先</v>
      </c>
    </row>
    <row r="1159" spans="1:8">
      <c r="A1159" s="3">
        <f>财富指数—趋势!A1159</f>
        <v>46255</v>
      </c>
      <c r="B1159" s="12">
        <f>财富指数—趋势!I1159/财富指数—趋势!H1159</f>
        <v>1.2345243134107791</v>
      </c>
      <c r="C1159" s="12">
        <f t="shared" si="132"/>
        <v>1.2279043673111953</v>
      </c>
      <c r="D1159" s="14">
        <f t="shared" si="133"/>
        <v>0.53912554396069456</v>
      </c>
      <c r="E1159" s="14">
        <f t="shared" si="134"/>
        <v>0.41937001859590511</v>
      </c>
      <c r="F1159" s="15" t="str">
        <f t="shared" si="135"/>
        <v>上升</v>
      </c>
      <c r="G1159" s="14">
        <f t="shared" si="136"/>
        <v>0.23421351548673641</v>
      </c>
      <c r="H1159" s="1" t="str">
        <f t="shared" si="137"/>
        <v>领先</v>
      </c>
    </row>
    <row r="1160" spans="1:8">
      <c r="A1160" s="3">
        <f>财富指数—趋势!A1160</f>
        <v>46258</v>
      </c>
      <c r="B1160" s="12">
        <f>财富指数—趋势!I1160/财富指数—趋势!H1160</f>
        <v>1.235092887267963</v>
      </c>
      <c r="C1160" s="12">
        <f t="shared" si="132"/>
        <v>1.2281712407065573</v>
      </c>
      <c r="D1160" s="14">
        <f t="shared" si="133"/>
        <v>0.56357341158905783</v>
      </c>
      <c r="E1160" s="14">
        <f t="shared" si="134"/>
        <v>0.43213018241049556</v>
      </c>
      <c r="F1160" s="15" t="str">
        <f t="shared" si="135"/>
        <v>上升</v>
      </c>
      <c r="G1160" s="14">
        <f t="shared" si="136"/>
        <v>0.25793282135881945</v>
      </c>
      <c r="H1160" s="1" t="str">
        <f t="shared" si="137"/>
        <v>领先</v>
      </c>
    </row>
    <row r="1161" spans="1:8">
      <c r="A1161" s="3">
        <f>财富指数—趋势!A1161</f>
        <v>46259</v>
      </c>
      <c r="B1161" s="12">
        <f>财富指数—趋势!I1161/财富指数—趋势!H1161</f>
        <v>1.235335391706387</v>
      </c>
      <c r="C1161" s="12">
        <f t="shared" ref="C1161:C1167" si="138">AVERAGE(B1120:B1161)</f>
        <v>1.2284350749777257</v>
      </c>
      <c r="D1161" s="14">
        <f t="shared" ref="D1161:D1167" si="139">(B1161/C1161-1)*100</f>
        <v>0.56171602954160349</v>
      </c>
      <c r="E1161" s="14">
        <f t="shared" ref="E1161:E1167" si="140">AVERAGE(D1141:D1161)</f>
        <v>0.44454884273680007</v>
      </c>
      <c r="F1161" s="15" t="str">
        <f t="shared" ref="F1161:F1167" si="141">IF(E1161&gt;0,"上升","下降")</f>
        <v>上升</v>
      </c>
      <c r="G1161" s="14">
        <f t="shared" ref="G1161:G1167" si="142">D1161-D1148</f>
        <v>0.21133234367454179</v>
      </c>
      <c r="H1161" s="1" t="str">
        <f t="shared" ref="H1161:H1167" si="143">IF(AND(D1161&gt;0,G1161&gt;0),"领先",IF(AND(D1161&lt;=0,G1161&gt;0),"改善",IF(AND(D1161&gt;0,G1161&lt;=0),"减弱","滞后")))</f>
        <v>领先</v>
      </c>
    </row>
    <row r="1162" spans="1:8">
      <c r="A1162" s="3">
        <f>财富指数—趋势!A1162</f>
        <v>46260</v>
      </c>
      <c r="B1162" s="12">
        <f>财富指数—趋势!I1162/财富指数—趋势!H1162</f>
        <v>1.2350597764898448</v>
      </c>
      <c r="C1162" s="12">
        <f t="shared" si="138"/>
        <v>1.2286776469933522</v>
      </c>
      <c r="D1162" s="14">
        <f t="shared" si="139"/>
        <v>0.51943074834233105</v>
      </c>
      <c r="E1162" s="14">
        <f t="shared" si="140"/>
        <v>0.45419675156609329</v>
      </c>
      <c r="F1162" s="15" t="str">
        <f t="shared" si="141"/>
        <v>上升</v>
      </c>
      <c r="G1162" s="14">
        <f t="shared" si="142"/>
        <v>0.13808299187896278</v>
      </c>
      <c r="H1162" s="1" t="str">
        <f t="shared" si="143"/>
        <v>领先</v>
      </c>
    </row>
    <row r="1163" spans="1:8">
      <c r="A1163" s="3">
        <f>财富指数—趋势!A1163</f>
        <v>46261</v>
      </c>
      <c r="B1163" s="12">
        <f>财富指数—趋势!I1163/财富指数—趋势!H1163</f>
        <v>1.2346839251885633</v>
      </c>
      <c r="C1163" s="12">
        <f t="shared" si="138"/>
        <v>1.228909927766296</v>
      </c>
      <c r="D1163" s="14">
        <f t="shared" si="139"/>
        <v>0.46984708088104732</v>
      </c>
      <c r="E1163" s="14">
        <f t="shared" si="140"/>
        <v>0.46309985654896574</v>
      </c>
      <c r="F1163" s="15" t="str">
        <f t="shared" si="141"/>
        <v>上升</v>
      </c>
      <c r="G1163" s="14">
        <f t="shared" si="142"/>
        <v>4.596402915935105E-2</v>
      </c>
      <c r="H1163" s="1" t="str">
        <f t="shared" si="143"/>
        <v>领先</v>
      </c>
    </row>
    <row r="1164" spans="1:8">
      <c r="A1164" s="3">
        <f>财富指数—趋势!A1164</f>
        <v>46262</v>
      </c>
      <c r="B1164" s="12">
        <f>财富指数—趋势!I1164/财富指数—趋势!H1164</f>
        <v>1.2346825192436912</v>
      </c>
      <c r="C1164" s="12">
        <f t="shared" si="138"/>
        <v>1.2291656806948539</v>
      </c>
      <c r="D1164" s="14">
        <f t="shared" si="139"/>
        <v>0.44882790298201858</v>
      </c>
      <c r="E1164" s="14">
        <f t="shared" si="140"/>
        <v>0.46994604336170842</v>
      </c>
      <c r="F1164" s="15" t="str">
        <f t="shared" si="141"/>
        <v>上升</v>
      </c>
      <c r="G1164" s="14">
        <f t="shared" si="142"/>
        <v>2.5397645275049285E-2</v>
      </c>
      <c r="H1164" s="1" t="str">
        <f t="shared" si="143"/>
        <v>领先</v>
      </c>
    </row>
    <row r="1165" spans="1:8">
      <c r="A1165" s="3">
        <f>财富指数—趋势!A1165</f>
        <v>46265</v>
      </c>
      <c r="B1165" s="12">
        <f>财富指数—趋势!I1165/财富指数—趋势!H1165</f>
        <v>1.2351127424924824</v>
      </c>
      <c r="C1165" s="12">
        <f t="shared" si="138"/>
        <v>1.2294277029860554</v>
      </c>
      <c r="D1165" s="14">
        <f t="shared" si="139"/>
        <v>0.4624134865856</v>
      </c>
      <c r="E1165" s="14">
        <f t="shared" si="140"/>
        <v>0.47601765001257135</v>
      </c>
      <c r="F1165" s="15" t="str">
        <f t="shared" si="141"/>
        <v>上升</v>
      </c>
      <c r="G1165" s="14">
        <f t="shared" si="142"/>
        <v>7.4926078946546681E-3</v>
      </c>
      <c r="H1165" s="1" t="str">
        <f t="shared" si="143"/>
        <v>领先</v>
      </c>
    </row>
    <row r="1166" spans="1:8">
      <c r="A1166" s="3">
        <f>财富指数—趋势!A1166</f>
        <v>46266</v>
      </c>
      <c r="B1166" s="12">
        <f>财富指数—趋势!I1166/财富指数—趋势!H1166</f>
        <v>1.2351310403408378</v>
      </c>
      <c r="C1166" s="12">
        <f t="shared" si="138"/>
        <v>1.2296965433656977</v>
      </c>
      <c r="D1166" s="14">
        <f t="shared" si="139"/>
        <v>0.44193805410446263</v>
      </c>
      <c r="E1166" s="14">
        <f t="shared" si="140"/>
        <v>0.48066889496968185</v>
      </c>
      <c r="F1166" s="15" t="str">
        <f t="shared" si="141"/>
        <v>上升</v>
      </c>
      <c r="G1166" s="14">
        <f t="shared" si="142"/>
        <v>-4.8572502762422864E-2</v>
      </c>
      <c r="H1166" s="1" t="str">
        <f t="shared" si="143"/>
        <v>减弱</v>
      </c>
    </row>
    <row r="1167" spans="1:8">
      <c r="A1167" s="3">
        <f>财富指数—趋势!A1167</f>
        <v>46267</v>
      </c>
      <c r="B1167" s="12">
        <f>财富指数—趋势!I1167/财富指数—趋势!H1167</f>
        <v>1.2351440699059355</v>
      </c>
      <c r="C1167" s="12">
        <f t="shared" si="138"/>
        <v>1.2299536011708323</v>
      </c>
      <c r="D1167" s="14">
        <f t="shared" si="139"/>
        <v>0.42200524720299448</v>
      </c>
      <c r="E1167" s="14">
        <f t="shared" si="140"/>
        <v>0.48624476252820742</v>
      </c>
      <c r="F1167" s="15" t="str">
        <f t="shared" si="141"/>
        <v>上升</v>
      </c>
      <c r="G1167" s="14">
        <f t="shared" si="142"/>
        <v>-8.5005556092099255E-2</v>
      </c>
      <c r="H1167" s="1" t="str">
        <f t="shared" si="143"/>
        <v>减弱</v>
      </c>
    </row>
    <row r="1168" spans="1:8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  <row r="1179" spans="1:1">
      <c r="A1179" s="3"/>
    </row>
    <row r="1180" spans="1:1">
      <c r="A1180" s="3"/>
    </row>
    <row r="1181" spans="1:1">
      <c r="A1181" s="3"/>
    </row>
    <row r="1182" spans="1:1">
      <c r="A1182" s="3"/>
    </row>
    <row r="1183" spans="1:1">
      <c r="A1183" s="3"/>
    </row>
    <row r="1184" spans="1:1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151" activePane="bottomRight" state="frozen"/>
      <selection pane="topRight" activeCell="B1" sqref="B1"/>
      <selection pane="bottomLeft" activeCell="A4" sqref="A4"/>
      <selection pane="bottomRight" activeCell="A1158" sqref="A1158:R1168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 t="s">
        <v>110</v>
      </c>
      <c r="P255" s="18">
        <f>IFERROR(_xlfn.PERCENTRANK.EXC(INDEX(H:H, MAX(4, ROW()-251)):INDEX(H:H, ROW()), H255), "")</f>
        <v>0.99199999999999999</v>
      </c>
      <c r="Q255">
        <f>AVERAGE(O255:P255)</f>
        <v>0.99199999999999999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IF(Q257="", "", IF(Q257&gt;=0.55, "便宜", IF(Q257&gt;=0.15,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IF(Q258="", "", IF(Q258&gt;=0.55, "便宜", IF(Q258&gt;=0.15,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中性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中性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便宜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便宜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中性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中性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便宜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IF(Q322="", "", IF(Q322&gt;=0.55, "便宜", IF(Q322&gt;=0.15,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中性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便宜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便宜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IF(Q386="", "", IF(Q386&gt;=0.55, "便宜", IF(Q386&gt;=0.15,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中性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便宜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中性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中性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便宜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便宜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中性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便宜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IF(Q450="", "", IF(Q450&gt;=0.55, "便宜", IF(Q450&gt;=0.15,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中性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便宜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中性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便宜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中性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中性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贵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贵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中性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中性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贵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贵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IF(Q514="", "", IF(Q514&gt;=0.55, "便宜", IF(Q514&gt;=0.15,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IF(Q578="", "", IF(Q578&gt;=0.55, "便宜", IF(Q578&gt;=0.15,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IF(Q642="", "", IF(Q642&gt;=0.55, "便宜", IF(Q642&gt;=0.15,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中性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中性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IF(Q706="", "", IF(Q706&gt;=0.55, "便宜", IF(Q706&gt;=0.15,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便宜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便宜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中性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中性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IF(Q770="", "", IF(Q770&gt;=0.55, "便宜", IF(Q770&gt;=0.15,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便宜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中性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便宜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便宜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中性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中性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便宜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中性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便宜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便宜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中性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中性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便宜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便宜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中性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中性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便宜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中性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便宜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便宜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IF(Q834="", "", IF(Q834&gt;=0.55, "便宜", IF(Q834&gt;=0.15,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中性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中性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贵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贵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中性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中性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贵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贵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中性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中性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贵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贵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中性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中性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IF(Q898="", "", IF(Q898&gt;=0.55, "便宜", IF(Q898&gt;=0.15,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贵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中性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便宜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便宜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中性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中性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便宜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便宜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中性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中性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便宜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中性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IF(Q962="", "", IF(Q962&gt;=0.55, "便宜", IF(Q962&gt;=0.15,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便宜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便宜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中性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中性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IF(Q1026="", "", IF(Q1026&gt;=0.55, "便宜", IF(Q1026&gt;=0.15,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贵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贵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中性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中性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贵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贵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中性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中性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53" si="215">IF(Q1090="", "", IF(Q1090&gt;=0.55, "便宜", IF(Q1090&gt;=0.15,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贵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中性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贵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贵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中性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中性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贵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贵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si="215"/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8">AVERAGE(B1049:B1108)</f>
        <v>2.1667566666666667</v>
      </c>
      <c r="D1108" s="14">
        <f t="shared" ref="D1108" si="229">STDEV(B1049:B1108)</f>
        <v>6.5264059117016132E-2</v>
      </c>
      <c r="E1108" s="14">
        <f t="shared" ref="E1108" si="230">C1108+2*D1108</f>
        <v>2.297284784900699</v>
      </c>
      <c r="F1108" s="14">
        <f t="shared" ref="F1108" si="231">C1108-2*D1108</f>
        <v>2.0362285484326343</v>
      </c>
      <c r="G1108" s="17">
        <f t="shared" ref="G1108" si="232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3">AVERAGE(H1049:H1108)</f>
        <v>39.034333333333343</v>
      </c>
      <c r="J1108" s="17">
        <f t="shared" ref="J1108" si="234">STDEV(H1049:H1108)</f>
        <v>2.3330516617720156</v>
      </c>
      <c r="K1108" s="17">
        <f t="shared" ref="K1108" si="235">I1108+2*J1108</f>
        <v>43.700436656877372</v>
      </c>
      <c r="L1108" s="17">
        <f t="shared" ref="L1108" si="236">I1108-2*J1108</f>
        <v>34.368230009789315</v>
      </c>
      <c r="M1108" s="17">
        <f t="shared" ref="M1108" si="237">IF(AND(K1108&lt;&gt;L1108,NOT(ISBLANK(H1108))),100*(H1108-L1108)/(K1108-L1108),"")</f>
        <v>39.98807711116315</v>
      </c>
      <c r="N1108" s="17">
        <f t="shared" ref="N1108" si="238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39">AVERAGE(O1108:P1108)</f>
        <v>0.14799999999999999</v>
      </c>
      <c r="R1108" s="1" t="str">
        <f t="shared" si="215"/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0">AVERAGE(B1050:B1109)</f>
        <v>2.1643349999999999</v>
      </c>
      <c r="D1109" s="14">
        <f t="shared" ref="D1109:D1111" si="241">STDEV(B1050:B1109)</f>
        <v>6.4995433542333808E-2</v>
      </c>
      <c r="E1109" s="14">
        <f t="shared" ref="E1109:E1111" si="242">C1109+2*D1109</f>
        <v>2.2943258670846673</v>
      </c>
      <c r="F1109" s="14">
        <f t="shared" ref="F1109:F1111" si="243">C1109-2*D1109</f>
        <v>2.0343441329153324</v>
      </c>
      <c r="G1109" s="17">
        <f t="shared" ref="G1109:G1111" si="244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5">AVERAGE(H1050:H1109)</f>
        <v>38.999666666666677</v>
      </c>
      <c r="J1109" s="17">
        <f t="shared" ref="J1109:J1111" si="246">STDEV(H1050:H1109)</f>
        <v>2.3352718904358607</v>
      </c>
      <c r="K1109" s="17">
        <f t="shared" ref="K1109:K1111" si="247">I1109+2*J1109</f>
        <v>43.670210447538395</v>
      </c>
      <c r="L1109" s="17">
        <f t="shared" ref="L1109:L1111" si="248">I1109-2*J1109</f>
        <v>34.329122885794959</v>
      </c>
      <c r="M1109" s="17">
        <f t="shared" ref="M1109:M1111" si="249">IF(AND(K1109&lt;&gt;L1109,NOT(ISBLANK(H1109))),100*(H1109-L1109)/(K1109-L1109),"")</f>
        <v>37.478260331729906</v>
      </c>
      <c r="N1109" s="17">
        <f t="shared" ref="N1109:N1111" si="250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1">AVERAGE(O1109:P1109)</f>
        <v>0.14800000000000002</v>
      </c>
      <c r="R1109" s="1" t="str">
        <f t="shared" si="215"/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0"/>
        <v>2.1618499999999998</v>
      </c>
      <c r="D1110" s="14">
        <f t="shared" si="241"/>
        <v>6.4438696396034723E-2</v>
      </c>
      <c r="E1110" s="14">
        <f t="shared" si="242"/>
        <v>2.2907273927920695</v>
      </c>
      <c r="F1110" s="14">
        <f t="shared" si="243"/>
        <v>2.0329726072079302</v>
      </c>
      <c r="G1110" s="17">
        <f t="shared" si="244"/>
        <v>27.090629038689855</v>
      </c>
      <c r="H1110" s="17">
        <f>信用曲线—价格!H1109</f>
        <v>36.859999999999985</v>
      </c>
      <c r="I1110" s="17">
        <f t="shared" si="245"/>
        <v>38.95033333333334</v>
      </c>
      <c r="J1110" s="17">
        <f t="shared" si="246"/>
        <v>2.3488742104457554</v>
      </c>
      <c r="K1110" s="17">
        <f t="shared" si="247"/>
        <v>43.648081754224847</v>
      </c>
      <c r="L1110" s="17">
        <f t="shared" si="248"/>
        <v>34.252584912441833</v>
      </c>
      <c r="M1110" s="17">
        <f t="shared" si="249"/>
        <v>27.751753116052718</v>
      </c>
      <c r="N1110" s="17">
        <f t="shared" si="250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1"/>
        <v>0.1225</v>
      </c>
      <c r="R1110" s="1" t="str">
        <f t="shared" si="215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0"/>
        <v>2.1598299999999999</v>
      </c>
      <c r="D1111" s="14">
        <f t="shared" si="241"/>
        <v>6.3795999821464819E-2</v>
      </c>
      <c r="E1111" s="14">
        <f t="shared" si="242"/>
        <v>2.2874219996429295</v>
      </c>
      <c r="F1111" s="14">
        <f t="shared" si="243"/>
        <v>2.0322380003570704</v>
      </c>
      <c r="G1111" s="17">
        <f t="shared" si="244"/>
        <v>34.509216835449685</v>
      </c>
      <c r="H1111" s="17">
        <f>信用曲线—价格!H1110</f>
        <v>39.239999999999988</v>
      </c>
      <c r="I1111" s="17">
        <f t="shared" si="245"/>
        <v>38.945000000000007</v>
      </c>
      <c r="J1111" s="17">
        <f t="shared" si="246"/>
        <v>2.3478295061248597</v>
      </c>
      <c r="K1111" s="17">
        <f t="shared" si="247"/>
        <v>43.640659012249728</v>
      </c>
      <c r="L1111" s="17">
        <f t="shared" si="248"/>
        <v>34.249340987750287</v>
      </c>
      <c r="M1111" s="17">
        <f t="shared" si="249"/>
        <v>53.141199129136119</v>
      </c>
      <c r="N1111" s="17">
        <f t="shared" si="250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1"/>
        <v>0.2525</v>
      </c>
      <c r="R1111" s="1" t="str">
        <f t="shared" si="215"/>
        <v>中性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2">AVERAGE(B1053:B1112)</f>
        <v>2.1578149999999994</v>
      </c>
      <c r="D1112" s="14">
        <f t="shared" ref="D1112:D1117" si="253">STDEV(B1053:B1112)</f>
        <v>6.2996736060190364E-2</v>
      </c>
      <c r="E1112" s="14">
        <f t="shared" ref="E1112:E1117" si="254">C1112+2*D1112</f>
        <v>2.2838084721203802</v>
      </c>
      <c r="F1112" s="14">
        <f t="shared" ref="F1112:F1117" si="255">C1112-2*D1112</f>
        <v>2.0318215278796186</v>
      </c>
      <c r="G1112" s="17">
        <f t="shared" ref="G1112:G1117" si="256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57">AVERAGE(H1053:H1112)</f>
        <v>38.913499999999999</v>
      </c>
      <c r="J1112" s="17">
        <f t="shared" ref="J1112:J1117" si="258">STDEV(H1053:H1112)</f>
        <v>2.3274695832635368</v>
      </c>
      <c r="K1112" s="17">
        <f t="shared" ref="K1112:K1117" si="259">I1112+2*J1112</f>
        <v>43.568439166527071</v>
      </c>
      <c r="L1112" s="17">
        <f t="shared" ref="L1112:L1117" si="260">I1112-2*J1112</f>
        <v>34.258560833472927</v>
      </c>
      <c r="M1112" s="17">
        <f t="shared" ref="M1112:M1117" si="261">IF(AND(K1112&lt;&gt;L1112,NOT(ISBLANK(H1112))),100*(H1112-L1112)/(K1112-L1112),"")</f>
        <v>55.977521725758628</v>
      </c>
      <c r="N1112" s="17">
        <f t="shared" ref="N1112:N1117" si="262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3">AVERAGE(O1112:P1112)</f>
        <v>0.26450000000000001</v>
      </c>
      <c r="R1112" s="1" t="str">
        <f t="shared" si="215"/>
        <v>中性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2"/>
        <v>2.1557683333333335</v>
      </c>
      <c r="D1113" s="14">
        <f t="shared" si="253"/>
        <v>6.220850258433578E-2</v>
      </c>
      <c r="E1113" s="14">
        <f t="shared" si="254"/>
        <v>2.280185338502005</v>
      </c>
      <c r="F1113" s="14">
        <f t="shared" si="255"/>
        <v>2.031351328164662</v>
      </c>
      <c r="G1113" s="17">
        <f t="shared" si="256"/>
        <v>35.263938284150768</v>
      </c>
      <c r="H1113" s="17">
        <f>信用曲线—价格!H1112</f>
        <v>41.470000000000006</v>
      </c>
      <c r="I1113" s="17">
        <f t="shared" si="257"/>
        <v>38.921333333333322</v>
      </c>
      <c r="J1113" s="17">
        <f t="shared" si="258"/>
        <v>2.3353883767066432</v>
      </c>
      <c r="K1113" s="17">
        <f t="shared" si="259"/>
        <v>43.592110086746608</v>
      </c>
      <c r="L1113" s="17">
        <f t="shared" si="260"/>
        <v>34.250556579920037</v>
      </c>
      <c r="M1113" s="17">
        <f t="shared" si="261"/>
        <v>77.283113721975496</v>
      </c>
      <c r="N1113" s="17">
        <f t="shared" si="262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3"/>
        <v>0.36499999999999999</v>
      </c>
      <c r="R1113" s="1" t="str">
        <f t="shared" si="215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2"/>
        <v>2.1535366666666667</v>
      </c>
      <c r="D1114" s="14">
        <f t="shared" si="253"/>
        <v>6.1430307671091568E-2</v>
      </c>
      <c r="E1114" s="14">
        <f t="shared" si="254"/>
        <v>2.2763972820088498</v>
      </c>
      <c r="F1114" s="14">
        <f t="shared" si="255"/>
        <v>2.0306760513244835</v>
      </c>
      <c r="G1114" s="17">
        <f t="shared" si="256"/>
        <v>31.834428167909067</v>
      </c>
      <c r="H1114" s="17">
        <f>信用曲线—价格!H1113</f>
        <v>41.450000000000031</v>
      </c>
      <c r="I1114" s="17">
        <f t="shared" si="257"/>
        <v>38.92116666666665</v>
      </c>
      <c r="J1114" s="17">
        <f t="shared" si="258"/>
        <v>2.3352044817855693</v>
      </c>
      <c r="K1114" s="17">
        <f t="shared" si="259"/>
        <v>43.591575630237791</v>
      </c>
      <c r="L1114" s="17">
        <f t="shared" si="260"/>
        <v>34.250757703095509</v>
      </c>
      <c r="M1114" s="17">
        <f t="shared" si="261"/>
        <v>77.072932510387218</v>
      </c>
      <c r="N1114" s="17">
        <f t="shared" si="262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3"/>
        <v>0.34899999999999998</v>
      </c>
      <c r="R1114" s="1" t="str">
        <f t="shared" si="215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2"/>
        <v>2.1509183333333337</v>
      </c>
      <c r="D1115" s="14">
        <f t="shared" si="253"/>
        <v>5.9821838571348651E-2</v>
      </c>
      <c r="E1115" s="14">
        <f t="shared" si="254"/>
        <v>2.2705620104760311</v>
      </c>
      <c r="F1115" s="14">
        <f t="shared" si="255"/>
        <v>2.0312746561906363</v>
      </c>
      <c r="G1115" s="17">
        <f t="shared" si="256"/>
        <v>33.025290469429194</v>
      </c>
      <c r="H1115" s="17">
        <f>信用曲线—价格!H1114</f>
        <v>42.250000000000007</v>
      </c>
      <c r="I1115" s="17">
        <f t="shared" si="257"/>
        <v>38.907833333333329</v>
      </c>
      <c r="J1115" s="17">
        <f t="shared" si="258"/>
        <v>2.3134126905582919</v>
      </c>
      <c r="K1115" s="17">
        <f t="shared" si="259"/>
        <v>43.534658714449911</v>
      </c>
      <c r="L1115" s="17">
        <f t="shared" si="260"/>
        <v>34.281007952216747</v>
      </c>
      <c r="M1115" s="17">
        <f t="shared" si="261"/>
        <v>86.117276873112942</v>
      </c>
      <c r="N1115" s="17">
        <f t="shared" si="262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3"/>
        <v>0.39250000000000002</v>
      </c>
      <c r="R1115" s="1" t="str">
        <f t="shared" si="215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2"/>
        <v>2.1483666666666665</v>
      </c>
      <c r="D1116" s="14">
        <f t="shared" si="253"/>
        <v>5.8336928057116981E-2</v>
      </c>
      <c r="E1116" s="14">
        <f t="shared" si="254"/>
        <v>2.2650405227809003</v>
      </c>
      <c r="F1116" s="14">
        <f t="shared" si="255"/>
        <v>2.0316928105524328</v>
      </c>
      <c r="G1116" s="17">
        <f t="shared" si="256"/>
        <v>32.229666504693604</v>
      </c>
      <c r="H1116" s="17">
        <f>信用曲线—价格!H1115</f>
        <v>41.54</v>
      </c>
      <c r="I1116" s="17">
        <f t="shared" si="257"/>
        <v>38.894999999999996</v>
      </c>
      <c r="J1116" s="17">
        <f t="shared" si="258"/>
        <v>2.2962921475976543</v>
      </c>
      <c r="K1116" s="17">
        <f t="shared" si="259"/>
        <v>43.487584295195305</v>
      </c>
      <c r="L1116" s="17">
        <f t="shared" si="260"/>
        <v>34.302415704804687</v>
      </c>
      <c r="M1116" s="17">
        <f t="shared" si="261"/>
        <v>78.796422993990134</v>
      </c>
      <c r="N1116" s="17">
        <f t="shared" si="262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3"/>
        <v>0.34899999999999998</v>
      </c>
      <c r="R1116" s="1" t="str">
        <f t="shared" si="215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2"/>
        <v>2.1459900000000003</v>
      </c>
      <c r="D1117" s="14">
        <f t="shared" si="253"/>
        <v>5.7020242317078119E-2</v>
      </c>
      <c r="E1117" s="14">
        <f t="shared" si="254"/>
        <v>2.2600304846341563</v>
      </c>
      <c r="F1117" s="14">
        <f t="shared" si="255"/>
        <v>2.0319495153658442</v>
      </c>
      <c r="G1117" s="17">
        <f t="shared" si="256"/>
        <v>33.036725894265288</v>
      </c>
      <c r="H1117" s="17">
        <f>信用曲线—价格!H1116</f>
        <v>40.949999999999996</v>
      </c>
      <c r="I1117" s="17">
        <f t="shared" si="257"/>
        <v>38.891666666666652</v>
      </c>
      <c r="J1117" s="17">
        <f t="shared" si="258"/>
        <v>2.2931062247946765</v>
      </c>
      <c r="K1117" s="17">
        <f t="shared" si="259"/>
        <v>43.477879116256005</v>
      </c>
      <c r="L1117" s="17">
        <f t="shared" si="260"/>
        <v>34.305454217077298</v>
      </c>
      <c r="M1117" s="17">
        <f t="shared" si="261"/>
        <v>72.440449019295286</v>
      </c>
      <c r="N1117" s="17">
        <f t="shared" si="262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3"/>
        <v>0.33150000000000002</v>
      </c>
      <c r="R1117" s="1" t="str">
        <f t="shared" si="215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4" si="264">AVERAGE(B1059:B1118)</f>
        <v>2.1437566666666665</v>
      </c>
      <c r="D1118" s="14">
        <f t="shared" ref="D1118:D1124" si="265">STDEV(B1059:B1118)</f>
        <v>5.5632088553605102E-2</v>
      </c>
      <c r="E1118" s="14">
        <f t="shared" ref="E1118:E1124" si="266">C1118+2*D1118</f>
        <v>2.2550208437738766</v>
      </c>
      <c r="F1118" s="14">
        <f t="shared" ref="F1118:F1124" si="267">C1118-2*D1118</f>
        <v>2.0324924895594565</v>
      </c>
      <c r="G1118" s="17">
        <f t="shared" ref="G1118:G1124" si="268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4" si="269">AVERAGE(H1059:H1118)</f>
        <v>38.905499999999996</v>
      </c>
      <c r="J1118" s="17">
        <f t="shared" ref="J1118:J1124" si="270">STDEV(H1059:H1118)</f>
        <v>2.3069074059573809</v>
      </c>
      <c r="K1118" s="17">
        <f t="shared" ref="K1118:K1124" si="271">I1118+2*J1118</f>
        <v>43.519314811914761</v>
      </c>
      <c r="L1118" s="17">
        <f t="shared" ref="L1118:L1124" si="272">I1118-2*J1118</f>
        <v>34.291685188085232</v>
      </c>
      <c r="M1118" s="17">
        <f t="shared" ref="M1118:M1124" si="273">IF(AND(K1118&lt;&gt;L1118,NOT(ISBLANK(H1118))),100*(H1118-L1118)/(K1118-L1118),"")</f>
        <v>78.875237830516554</v>
      </c>
      <c r="N1118" s="17">
        <f t="shared" ref="N1118:N1124" si="274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4" si="275">AVERAGE(O1118:P1118)</f>
        <v>0.36499999999999999</v>
      </c>
      <c r="R1118" s="1" t="str">
        <f t="shared" si="215"/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4"/>
        <v>2.1415083333333333</v>
      </c>
      <c r="D1119" s="14">
        <f t="shared" si="265"/>
        <v>5.422440282365424E-2</v>
      </c>
      <c r="E1119" s="14">
        <f t="shared" si="266"/>
        <v>2.2499571389806419</v>
      </c>
      <c r="F1119" s="14">
        <f t="shared" si="267"/>
        <v>2.0330595276860248</v>
      </c>
      <c r="G1119" s="17">
        <f t="shared" si="268"/>
        <v>35.012129391698771</v>
      </c>
      <c r="H1119" s="17">
        <f>信用曲线—价格!H1118</f>
        <v>42.74</v>
      </c>
      <c r="I1119" s="17">
        <f t="shared" si="269"/>
        <v>38.937833333333323</v>
      </c>
      <c r="J1119" s="17">
        <f t="shared" si="270"/>
        <v>2.347154852998584</v>
      </c>
      <c r="K1119" s="17">
        <f t="shared" si="271"/>
        <v>43.632143039330494</v>
      </c>
      <c r="L1119" s="17">
        <f t="shared" si="272"/>
        <v>34.243523627336153</v>
      </c>
      <c r="M1119" s="17">
        <f t="shared" si="273"/>
        <v>90.497612053687646</v>
      </c>
      <c r="N1119" s="17">
        <f t="shared" si="274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5"/>
        <v>0.40649999999999997</v>
      </c>
      <c r="R1119" s="1" t="str">
        <f t="shared" si="215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4"/>
        <v>2.1390766666666665</v>
      </c>
      <c r="D1120" s="14">
        <f t="shared" si="265"/>
        <v>5.2384628249479426E-2</v>
      </c>
      <c r="E1120" s="14">
        <f t="shared" si="266"/>
        <v>2.2438459231656251</v>
      </c>
      <c r="F1120" s="14">
        <f t="shared" si="267"/>
        <v>2.0343074101677079</v>
      </c>
      <c r="G1120" s="17">
        <f t="shared" si="268"/>
        <v>34.691756084484027</v>
      </c>
      <c r="H1120" s="17">
        <f>信用曲线—价格!H1119</f>
        <v>42.590000000000018</v>
      </c>
      <c r="I1120" s="17">
        <f t="shared" si="269"/>
        <v>38.924333333333337</v>
      </c>
      <c r="J1120" s="17">
        <f t="shared" si="270"/>
        <v>2.3232628769642556</v>
      </c>
      <c r="K1120" s="17">
        <f t="shared" si="271"/>
        <v>43.570859087261852</v>
      </c>
      <c r="L1120" s="17">
        <f t="shared" si="272"/>
        <v>34.277807579404822</v>
      </c>
      <c r="M1120" s="17">
        <f t="shared" si="273"/>
        <v>89.445242109843633</v>
      </c>
      <c r="N1120" s="17">
        <f t="shared" si="274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5"/>
        <v>0.39649999999999996</v>
      </c>
      <c r="R1120" s="1" t="str">
        <f t="shared" si="215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4"/>
        <v>2.1367366666666667</v>
      </c>
      <c r="D1121" s="14">
        <f t="shared" si="265"/>
        <v>5.0966595795733219E-2</v>
      </c>
      <c r="E1121" s="14">
        <f t="shared" si="266"/>
        <v>2.2386698582581332</v>
      </c>
      <c r="F1121" s="14">
        <f t="shared" si="267"/>
        <v>2.0348034750752002</v>
      </c>
      <c r="G1121" s="17">
        <f t="shared" si="268"/>
        <v>31.244251224903405</v>
      </c>
      <c r="H1121" s="17">
        <f>信用曲线—价格!H1120</f>
        <v>43.640000000000015</v>
      </c>
      <c r="I1121" s="17">
        <f t="shared" si="269"/>
        <v>38.954166666666666</v>
      </c>
      <c r="J1121" s="17">
        <f t="shared" si="270"/>
        <v>2.3724408454104307</v>
      </c>
      <c r="K1121" s="17">
        <f t="shared" si="271"/>
        <v>43.699048357487527</v>
      </c>
      <c r="L1121" s="17">
        <f t="shared" si="272"/>
        <v>34.209284975845804</v>
      </c>
      <c r="M1121" s="17">
        <f t="shared" si="273"/>
        <v>99.377767862982296</v>
      </c>
      <c r="N1121" s="17">
        <f t="shared" si="274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5"/>
        <v>0.41449999999999998</v>
      </c>
      <c r="R1121" s="1" t="str">
        <f t="shared" si="215"/>
        <v>中性</v>
      </c>
    </row>
    <row r="1122" spans="1:18">
      <c r="A1122" s="3">
        <f>信用曲线—价格!A1121</f>
        <v>46203</v>
      </c>
      <c r="B1122" s="14">
        <f>信用曲线—价格!D1121</f>
        <v>2.0945</v>
      </c>
      <c r="C1122" s="14">
        <f t="shared" si="264"/>
        <v>2.1339683333333337</v>
      </c>
      <c r="D1122" s="14">
        <f t="shared" si="265"/>
        <v>4.857983641028156E-2</v>
      </c>
      <c r="E1122" s="14">
        <f t="shared" si="266"/>
        <v>2.2311280061538969</v>
      </c>
      <c r="F1122" s="14">
        <f t="shared" si="267"/>
        <v>2.0368086605127704</v>
      </c>
      <c r="G1122" s="17">
        <f t="shared" si="268"/>
        <v>29.688932564529782</v>
      </c>
      <c r="H1122" s="17">
        <f>信用曲线—价格!H1121</f>
        <v>41.989999999999995</v>
      </c>
      <c r="I1122" s="17">
        <f t="shared" si="269"/>
        <v>38.931666666666658</v>
      </c>
      <c r="J1122" s="17">
        <f t="shared" si="270"/>
        <v>2.3362668806994433</v>
      </c>
      <c r="K1122" s="17">
        <f t="shared" si="271"/>
        <v>43.604200428065546</v>
      </c>
      <c r="L1122" s="17">
        <f t="shared" si="272"/>
        <v>34.259132905267769</v>
      </c>
      <c r="M1122" s="17">
        <f t="shared" si="273"/>
        <v>82.726711988676101</v>
      </c>
      <c r="N1122" s="17">
        <f t="shared" si="274"/>
        <v>56.20782227660294</v>
      </c>
      <c r="O1122" s="18">
        <f>IFERROR(_xlfn.PERCENTRANK.EXC(INDEX(B:B, MAX(4, ROW()-251)):INDEX(B:B, ROW()), B1122), "")</f>
        <v>5.8999999999999997E-2</v>
      </c>
      <c r="P1122" s="18">
        <f>IFERROR(_xlfn.PERCENTRANK.EXC(INDEX(H:H, MAX(4, ROW()-251)):INDEX(H:H, ROW()), H1122), "")</f>
        <v>0.63600000000000001</v>
      </c>
      <c r="Q1122">
        <f t="shared" si="275"/>
        <v>0.34750000000000003</v>
      </c>
      <c r="R1122" s="1" t="str">
        <f t="shared" si="215"/>
        <v>中性</v>
      </c>
    </row>
    <row r="1123" spans="1:18">
      <c r="A1123" s="3">
        <f>信用曲线—价格!A1122</f>
        <v>46204</v>
      </c>
      <c r="B1123" s="14">
        <f>信用曲线—价格!D1122</f>
        <v>2.1</v>
      </c>
      <c r="C1123" s="14">
        <f t="shared" si="264"/>
        <v>2.1312083333333329</v>
      </c>
      <c r="D1123" s="14">
        <f t="shared" si="265"/>
        <v>4.5586558722480824E-2</v>
      </c>
      <c r="E1123" s="14">
        <f t="shared" si="266"/>
        <v>2.2223814507782946</v>
      </c>
      <c r="F1123" s="14">
        <f t="shared" si="267"/>
        <v>2.0400352158883712</v>
      </c>
      <c r="G1123" s="17">
        <f t="shared" si="268"/>
        <v>32.885123264446719</v>
      </c>
      <c r="H1123" s="17">
        <f>信用曲线—价格!H1122</f>
        <v>41.040000000000006</v>
      </c>
      <c r="I1123" s="17">
        <f t="shared" si="269"/>
        <v>38.908999999999999</v>
      </c>
      <c r="J1123" s="17">
        <f t="shared" si="270"/>
        <v>2.3084786244022348</v>
      </c>
      <c r="K1123" s="17">
        <f t="shared" si="271"/>
        <v>43.525957248804467</v>
      </c>
      <c r="L1123" s="17">
        <f t="shared" si="272"/>
        <v>34.292042751195531</v>
      </c>
      <c r="M1123" s="17">
        <f t="shared" si="273"/>
        <v>73.077969809573361</v>
      </c>
      <c r="N1123" s="17">
        <f t="shared" si="274"/>
        <v>52.98154653701004</v>
      </c>
      <c r="O1123" s="18">
        <f>IFERROR(_xlfn.PERCENTRANK.EXC(INDEX(B:B, MAX(4, ROW()-251)):INDEX(B:B, ROW()), B1123), "")</f>
        <v>7.0999999999999994E-2</v>
      </c>
      <c r="P1123" s="18">
        <f>IFERROR(_xlfn.PERCENTRANK.EXC(INDEX(H:H, MAX(4, ROW()-251)):INDEX(H:H, ROW()), H1123), "")</f>
        <v>0.54500000000000004</v>
      </c>
      <c r="Q1123">
        <f t="shared" si="275"/>
        <v>0.308</v>
      </c>
      <c r="R1123" s="1" t="str">
        <f t="shared" si="215"/>
        <v>中性</v>
      </c>
    </row>
    <row r="1124" spans="1:18">
      <c r="A1124" s="3">
        <f>信用曲线—价格!A1123</f>
        <v>46205</v>
      </c>
      <c r="B1124" s="14">
        <f>信用曲线—价格!D1123</f>
        <v>2.1011000000000002</v>
      </c>
      <c r="C1124" s="14">
        <f t="shared" si="264"/>
        <v>2.1287283333333331</v>
      </c>
      <c r="D1124" s="14">
        <f t="shared" si="265"/>
        <v>4.2993831215639176E-2</v>
      </c>
      <c r="E1124" s="14">
        <f t="shared" si="266"/>
        <v>2.2147159957646116</v>
      </c>
      <c r="F1124" s="14">
        <f t="shared" si="267"/>
        <v>2.0427406709020546</v>
      </c>
      <c r="G1124" s="17">
        <f t="shared" si="268"/>
        <v>33.934710775854896</v>
      </c>
      <c r="H1124" s="17">
        <f>信用曲线—价格!H1123</f>
        <v>41.850000000000009</v>
      </c>
      <c r="I1124" s="17">
        <f t="shared" si="269"/>
        <v>38.892666666666656</v>
      </c>
      <c r="J1124" s="17">
        <f t="shared" si="270"/>
        <v>2.2835987556565542</v>
      </c>
      <c r="K1124" s="17">
        <f t="shared" si="271"/>
        <v>43.459864177979767</v>
      </c>
      <c r="L1124" s="17">
        <f t="shared" si="272"/>
        <v>34.325469155353545</v>
      </c>
      <c r="M1124" s="17">
        <f t="shared" si="273"/>
        <v>82.375798572406069</v>
      </c>
      <c r="N1124" s="17">
        <f t="shared" si="274"/>
        <v>58.155254674130482</v>
      </c>
      <c r="O1124" s="18">
        <f>IFERROR(_xlfn.PERCENTRANK.EXC(INDEX(B:B, MAX(4, ROW()-251)):INDEX(B:B, ROW()), B1124), "")</f>
        <v>7.9000000000000001E-2</v>
      </c>
      <c r="P1124" s="18">
        <f>IFERROR(_xlfn.PERCENTRANK.EXC(INDEX(H:H, MAX(4, ROW()-251)):INDEX(H:H, ROW()), H1124), "")</f>
        <v>0.62</v>
      </c>
      <c r="Q1124">
        <f t="shared" si="275"/>
        <v>0.34949999999999998</v>
      </c>
      <c r="R1124" s="1" t="str">
        <f t="shared" si="215"/>
        <v>中性</v>
      </c>
    </row>
    <row r="1125" spans="1:18">
      <c r="A1125" s="3">
        <f>信用曲线—价格!A1124</f>
        <v>46206</v>
      </c>
      <c r="B1125" s="14">
        <f>信用曲线—价格!D1124</f>
        <v>2.0966</v>
      </c>
      <c r="C1125" s="14">
        <f t="shared" ref="C1125:C1153" si="276">AVERAGE(B1066:B1125)</f>
        <v>2.1263416666666668</v>
      </c>
      <c r="D1125" s="14">
        <f t="shared" ref="D1125:D1153" si="277">STDEV(B1066:B1125)</f>
        <v>4.0633384836570495E-2</v>
      </c>
      <c r="E1125" s="14">
        <f t="shared" ref="E1125:E1153" si="278">C1125+2*D1125</f>
        <v>2.2076084363398079</v>
      </c>
      <c r="F1125" s="14">
        <f t="shared" ref="F1125:F1153" si="279">C1125-2*D1125</f>
        <v>2.0450748969935257</v>
      </c>
      <c r="G1125" s="17">
        <f t="shared" ref="G1125:G1153" si="280">IF(AND(E1125&lt;&gt;F1125,NOT(ISBLANK(B1125))),100*(B1125-F1125)/(E1125-F1125),"")</f>
        <v>31.701212693522073</v>
      </c>
      <c r="H1125" s="17">
        <f>信用曲线—价格!H1124</f>
        <v>41.5</v>
      </c>
      <c r="I1125" s="17">
        <f t="shared" ref="I1125:I1153" si="281">AVERAGE(H1066:H1125)</f>
        <v>38.868666666666655</v>
      </c>
      <c r="J1125" s="17">
        <f t="shared" ref="J1125:J1153" si="282">STDEV(H1066:H1125)</f>
        <v>2.247625086858005</v>
      </c>
      <c r="K1125" s="17">
        <f t="shared" ref="K1125:K1153" si="283">I1125+2*J1125</f>
        <v>43.363916840382664</v>
      </c>
      <c r="L1125" s="17">
        <f t="shared" ref="L1125:L1153" si="284">I1125-2*J1125</f>
        <v>34.373416492950646</v>
      </c>
      <c r="M1125" s="17">
        <f t="shared" ref="M1125:M1153" si="285">IF(AND(K1125&lt;&gt;L1125,NOT(ISBLANK(H1125))),100*(H1125-L1125)/(K1125-L1125),"")</f>
        <v>79.267929833125919</v>
      </c>
      <c r="N1125" s="17">
        <f t="shared" ref="N1125:N1153" si="286">IF(AND(NOT(ISBLANK(G1125)),NOT(ISBLANK(M1125))),(G1125+M1125)/2,"")</f>
        <v>55.484571263324</v>
      </c>
      <c r="O1125" s="18">
        <f>IFERROR(_xlfn.PERCENTRANK.EXC(INDEX(B:B, MAX(4, ROW()-251)):INDEX(B:B, ROW()), B1125), "")</f>
        <v>6.3E-2</v>
      </c>
      <c r="P1125" s="18">
        <f>IFERROR(_xlfn.PERCENTRANK.EXC(INDEX(H:H, MAX(4, ROW()-251)):INDEX(H:H, ROW()), H1125), "")</f>
        <v>0.57699999999999996</v>
      </c>
      <c r="Q1125">
        <f t="shared" ref="Q1125:Q1153" si="287">AVERAGE(O1125:P1125)</f>
        <v>0.31999999999999995</v>
      </c>
      <c r="R1125" s="1" t="str">
        <f t="shared" si="215"/>
        <v>中性</v>
      </c>
    </row>
    <row r="1126" spans="1:18">
      <c r="A1126" s="3">
        <f>信用曲线—价格!A1125</f>
        <v>46209</v>
      </c>
      <c r="B1126" s="14">
        <f>信用曲线—价格!D1125</f>
        <v>2.0914999999999999</v>
      </c>
      <c r="C1126" s="14">
        <f t="shared" si="276"/>
        <v>2.123898333333333</v>
      </c>
      <c r="D1126" s="14">
        <f t="shared" si="277"/>
        <v>3.8129811690434862E-2</v>
      </c>
      <c r="E1126" s="14">
        <f t="shared" si="278"/>
        <v>2.2001579567142029</v>
      </c>
      <c r="F1126" s="14">
        <f t="shared" si="279"/>
        <v>2.0476387099524631</v>
      </c>
      <c r="G1126" s="17">
        <f t="shared" si="280"/>
        <v>28.757872189111566</v>
      </c>
      <c r="H1126" s="17">
        <f>信用曲线—价格!H1125</f>
        <v>42.209999999999994</v>
      </c>
      <c r="I1126" s="17">
        <f t="shared" si="281"/>
        <v>38.866333333333323</v>
      </c>
      <c r="J1126" s="17">
        <f t="shared" si="282"/>
        <v>2.2440195221564392</v>
      </c>
      <c r="K1126" s="17">
        <f t="shared" si="283"/>
        <v>43.3543723776462</v>
      </c>
      <c r="L1126" s="17">
        <f t="shared" si="284"/>
        <v>34.378294289020445</v>
      </c>
      <c r="M1126" s="17">
        <f t="shared" si="285"/>
        <v>87.250864282293577</v>
      </c>
      <c r="N1126" s="17">
        <f t="shared" si="286"/>
        <v>58.004368235702572</v>
      </c>
      <c r="O1126" s="18">
        <f>IFERROR(_xlfn.PERCENTRANK.EXC(INDEX(B:B, MAX(4, ROW()-251)):INDEX(B:B, ROW()), B1126), "")</f>
        <v>5.5E-2</v>
      </c>
      <c r="P1126" s="18">
        <f>IFERROR(_xlfn.PERCENTRANK.EXC(INDEX(H:H, MAX(4, ROW()-251)):INDEX(H:H, ROW()), H1126), "")</f>
        <v>0.65600000000000003</v>
      </c>
      <c r="Q1126">
        <f t="shared" si="287"/>
        <v>0.35550000000000004</v>
      </c>
      <c r="R1126" s="1" t="str">
        <f t="shared" si="215"/>
        <v>中性</v>
      </c>
    </row>
    <row r="1127" spans="1:18">
      <c r="A1127" s="3">
        <f>信用曲线—价格!A1126</f>
        <v>46210</v>
      </c>
      <c r="B1127" s="14">
        <f>信用曲线—价格!D1126</f>
        <v>2.0914000000000001</v>
      </c>
      <c r="C1127" s="14">
        <f t="shared" si="276"/>
        <v>2.1214883333333332</v>
      </c>
      <c r="D1127" s="14">
        <f t="shared" si="277"/>
        <v>3.5396050204175272E-2</v>
      </c>
      <c r="E1127" s="14">
        <f t="shared" si="278"/>
        <v>2.1922804337416837</v>
      </c>
      <c r="F1127" s="14">
        <f t="shared" si="279"/>
        <v>2.0506962329249827</v>
      </c>
      <c r="G1127" s="17">
        <f t="shared" si="280"/>
        <v>28.748805897992614</v>
      </c>
      <c r="H1127" s="17">
        <f>信用曲线—价格!H1126</f>
        <v>42.350000000000023</v>
      </c>
      <c r="I1127" s="17">
        <f t="shared" si="281"/>
        <v>38.870499999999986</v>
      </c>
      <c r="J1127" s="17">
        <f t="shared" si="282"/>
        <v>2.2503486923781701</v>
      </c>
      <c r="K1127" s="17">
        <f t="shared" si="283"/>
        <v>43.371197384756329</v>
      </c>
      <c r="L1127" s="17">
        <f t="shared" si="284"/>
        <v>34.369802615243643</v>
      </c>
      <c r="M1127" s="17">
        <f t="shared" si="285"/>
        <v>88.65512055737122</v>
      </c>
      <c r="N1127" s="17">
        <f t="shared" si="286"/>
        <v>58.701963227681915</v>
      </c>
      <c r="O1127" s="18">
        <f>IFERROR(_xlfn.PERCENTRANK.EXC(INDEX(B:B, MAX(4, ROW()-251)):INDEX(B:B, ROW()), B1127), "")</f>
        <v>5.5E-2</v>
      </c>
      <c r="P1127" s="18">
        <f>IFERROR(_xlfn.PERCENTRANK.EXC(INDEX(H:H, MAX(4, ROW()-251)):INDEX(H:H, ROW()), H1127), "")</f>
        <v>0.67500000000000004</v>
      </c>
      <c r="Q1127">
        <f t="shared" si="287"/>
        <v>0.36500000000000005</v>
      </c>
      <c r="R1127" s="1" t="str">
        <f t="shared" si="215"/>
        <v>中性</v>
      </c>
    </row>
    <row r="1128" spans="1:18">
      <c r="A1128" s="3">
        <f>信用曲线—价格!A1127</f>
        <v>46211</v>
      </c>
      <c r="B1128" s="14">
        <f>信用曲线—价格!D1127</f>
        <v>2.0813000000000001</v>
      </c>
      <c r="C1128" s="14">
        <f t="shared" si="276"/>
        <v>2.1190916666666668</v>
      </c>
      <c r="D1128" s="14">
        <f t="shared" si="277"/>
        <v>3.3052353395359786E-2</v>
      </c>
      <c r="E1128" s="14">
        <f t="shared" si="278"/>
        <v>2.1851963734573863</v>
      </c>
      <c r="F1128" s="14">
        <f t="shared" si="279"/>
        <v>2.0529869598759474</v>
      </c>
      <c r="G1128" s="17">
        <f t="shared" si="280"/>
        <v>21.415298167563837</v>
      </c>
      <c r="H1128" s="17">
        <f>信用曲线—价格!H1127</f>
        <v>41.740000000000023</v>
      </c>
      <c r="I1128" s="17">
        <f t="shared" si="281"/>
        <v>38.880666666666663</v>
      </c>
      <c r="J1128" s="17">
        <f t="shared" si="282"/>
        <v>2.2620770916044375</v>
      </c>
      <c r="K1128" s="17">
        <f t="shared" si="283"/>
        <v>43.404820849875534</v>
      </c>
      <c r="L1128" s="17">
        <f t="shared" si="284"/>
        <v>34.356512483457792</v>
      </c>
      <c r="M1128" s="17">
        <f t="shared" si="285"/>
        <v>81.600750300969025</v>
      </c>
      <c r="N1128" s="17">
        <f t="shared" si="286"/>
        <v>51.508024234266429</v>
      </c>
      <c r="O1128" s="18">
        <f>IFERROR(_xlfn.PERCENTRANK.EXC(INDEX(B:B, MAX(4, ROW()-251)):INDEX(B:B, ROW()), B1128), "")</f>
        <v>3.9E-2</v>
      </c>
      <c r="P1128" s="18">
        <f>IFERROR(_xlfn.PERCENTRANK.EXC(INDEX(H:H, MAX(4, ROW()-251)):INDEX(H:H, ROW()), H1128), "")</f>
        <v>0.59599999999999997</v>
      </c>
      <c r="Q1128">
        <f t="shared" si="287"/>
        <v>0.3175</v>
      </c>
      <c r="R1128" s="1" t="str">
        <f t="shared" si="215"/>
        <v>中性</v>
      </c>
    </row>
    <row r="1129" spans="1:18">
      <c r="A1129" s="3">
        <f>信用曲线—价格!A1128</f>
        <v>46212</v>
      </c>
      <c r="B1129" s="14">
        <f>信用曲线—价格!D1128</f>
        <v>2.08</v>
      </c>
      <c r="C1129" s="14">
        <f t="shared" si="276"/>
        <v>2.1169649999999995</v>
      </c>
      <c r="D1129" s="14">
        <f t="shared" si="277"/>
        <v>3.1320675063616979E-2</v>
      </c>
      <c r="E1129" s="14">
        <f t="shared" si="278"/>
        <v>2.1796063501272336</v>
      </c>
      <c r="F1129" s="14">
        <f t="shared" si="279"/>
        <v>2.0543236498727655</v>
      </c>
      <c r="G1129" s="17">
        <f t="shared" si="280"/>
        <v>20.494729180550888</v>
      </c>
      <c r="H1129" s="17">
        <f>信用曲线—价格!H1128</f>
        <v>41.290000000000006</v>
      </c>
      <c r="I1129" s="17">
        <f t="shared" si="281"/>
        <v>38.904166666666661</v>
      </c>
      <c r="J1129" s="17">
        <f t="shared" si="282"/>
        <v>2.2798887065215054</v>
      </c>
      <c r="K1129" s="17">
        <f t="shared" si="283"/>
        <v>43.46394407970967</v>
      </c>
      <c r="L1129" s="17">
        <f t="shared" si="284"/>
        <v>34.344389253623653</v>
      </c>
      <c r="M1129" s="17">
        <f t="shared" si="285"/>
        <v>76.161730247059779</v>
      </c>
      <c r="N1129" s="17">
        <f t="shared" si="286"/>
        <v>48.328229713805335</v>
      </c>
      <c r="O1129" s="18">
        <f>IFERROR(_xlfn.PERCENTRANK.EXC(INDEX(B:B, MAX(4, ROW()-251)):INDEX(B:B, ROW()), B1129), "")</f>
        <v>3.9E-2</v>
      </c>
      <c r="P1129" s="18">
        <f>IFERROR(_xlfn.PERCENTRANK.EXC(INDEX(H:H, MAX(4, ROW()-251)):INDEX(H:H, ROW()), H1129), "")</f>
        <v>0.54100000000000004</v>
      </c>
      <c r="Q1129">
        <f t="shared" si="287"/>
        <v>0.29000000000000004</v>
      </c>
      <c r="R1129" s="1" t="str">
        <f t="shared" si="215"/>
        <v>中性</v>
      </c>
    </row>
    <row r="1130" spans="1:18">
      <c r="A1130" s="3">
        <f>信用曲线—价格!A1129</f>
        <v>46213</v>
      </c>
      <c r="B1130" s="14">
        <f>信用曲线—价格!D1129</f>
        <v>2.0737999999999999</v>
      </c>
      <c r="C1130" s="14">
        <f t="shared" si="276"/>
        <v>2.1151749999999994</v>
      </c>
      <c r="D1130" s="14">
        <f t="shared" si="277"/>
        <v>3.0649171885846052E-2</v>
      </c>
      <c r="E1130" s="14">
        <f t="shared" si="278"/>
        <v>2.1764733437716917</v>
      </c>
      <c r="F1130" s="14">
        <f t="shared" si="279"/>
        <v>2.0538766562283071</v>
      </c>
      <c r="G1130" s="17">
        <f t="shared" si="280"/>
        <v>16.251127310957987</v>
      </c>
      <c r="H1130" s="17">
        <f>信用曲线—价格!H1129</f>
        <v>40.419999999999987</v>
      </c>
      <c r="I1130" s="17">
        <f t="shared" si="281"/>
        <v>38.957166666666666</v>
      </c>
      <c r="J1130" s="17">
        <f t="shared" si="282"/>
        <v>2.2775076264857104</v>
      </c>
      <c r="K1130" s="17">
        <f t="shared" si="283"/>
        <v>43.512181919638088</v>
      </c>
      <c r="L1130" s="17">
        <f t="shared" si="284"/>
        <v>34.402151413695243</v>
      </c>
      <c r="M1130" s="17">
        <f t="shared" si="285"/>
        <v>66.057392259872856</v>
      </c>
      <c r="N1130" s="17">
        <f t="shared" si="286"/>
        <v>41.15425978541542</v>
      </c>
      <c r="O1130" s="18">
        <f>IFERROR(_xlfn.PERCENTRANK.EXC(INDEX(B:B, MAX(4, ROW()-251)):INDEX(B:B, ROW()), B1130), "")</f>
        <v>2.3E-2</v>
      </c>
      <c r="P1130" s="18">
        <f>IFERROR(_xlfn.PERCENTRANK.EXC(INDEX(H:H, MAX(4, ROW()-251)):INDEX(H:H, ROW()), H1130), "")</f>
        <v>0.46200000000000002</v>
      </c>
      <c r="Q1130">
        <f t="shared" si="287"/>
        <v>0.24250000000000002</v>
      </c>
      <c r="R1130" s="1" t="str">
        <f t="shared" si="215"/>
        <v>中性</v>
      </c>
    </row>
    <row r="1131" spans="1:18">
      <c r="A1131" s="3">
        <f>信用曲线—价格!A1130</f>
        <v>46216</v>
      </c>
      <c r="B1131" s="14">
        <f>信用曲线—价格!D1130</f>
        <v>2.0663999999999998</v>
      </c>
      <c r="C1131" s="14">
        <f t="shared" si="276"/>
        <v>2.11327</v>
      </c>
      <c r="D1131" s="14">
        <f t="shared" si="277"/>
        <v>3.0053812189448532E-2</v>
      </c>
      <c r="E1131" s="14">
        <f t="shared" si="278"/>
        <v>2.1733776243788969</v>
      </c>
      <c r="F1131" s="14">
        <f t="shared" si="279"/>
        <v>2.053162375621103</v>
      </c>
      <c r="G1131" s="17">
        <f t="shared" si="280"/>
        <v>11.01160170251573</v>
      </c>
      <c r="H1131" s="17">
        <f>信用曲线—价格!H1130</f>
        <v>39.499999999999979</v>
      </c>
      <c r="I1131" s="17">
        <f t="shared" si="281"/>
        <v>38.978166666666667</v>
      </c>
      <c r="J1131" s="17">
        <f t="shared" si="282"/>
        <v>2.2765916329629357</v>
      </c>
      <c r="K1131" s="17">
        <f t="shared" si="283"/>
        <v>43.531349932592541</v>
      </c>
      <c r="L1131" s="17">
        <f t="shared" si="284"/>
        <v>34.424983400740793</v>
      </c>
      <c r="M1131" s="17">
        <f t="shared" si="285"/>
        <v>55.73042312219777</v>
      </c>
      <c r="N1131" s="17">
        <f t="shared" si="286"/>
        <v>33.371012412356748</v>
      </c>
      <c r="O1131" s="18">
        <f>IFERROR(_xlfn.PERCENTRANK.EXC(INDEX(B:B, MAX(4, ROW()-251)):INDEX(B:B, ROW()), B1131), "")</f>
        <v>1.9E-2</v>
      </c>
      <c r="P1131" s="18">
        <f>IFERROR(_xlfn.PERCENTRANK.EXC(INDEX(H:H, MAX(4, ROW()-251)):INDEX(H:H, ROW()), H1131), "")</f>
        <v>0.36299999999999999</v>
      </c>
      <c r="Q1131">
        <f t="shared" si="287"/>
        <v>0.191</v>
      </c>
      <c r="R1131" s="1" t="str">
        <f t="shared" si="215"/>
        <v>中性</v>
      </c>
    </row>
    <row r="1132" spans="1:18">
      <c r="A1132" s="3">
        <f>信用曲线—价格!A1131</f>
        <v>46217</v>
      </c>
      <c r="B1132" s="14">
        <f>信用曲线—价格!D1131</f>
        <v>2.0647000000000002</v>
      </c>
      <c r="C1132" s="14">
        <f t="shared" si="276"/>
        <v>2.1115283333333332</v>
      </c>
      <c r="D1132" s="14">
        <f t="shared" si="277"/>
        <v>2.9784406633859169E-2</v>
      </c>
      <c r="E1132" s="14">
        <f t="shared" si="278"/>
        <v>2.1710971466010514</v>
      </c>
      <c r="F1132" s="14">
        <f t="shared" si="279"/>
        <v>2.0519595200656151</v>
      </c>
      <c r="G1132" s="17">
        <f t="shared" si="280"/>
        <v>10.693917870351036</v>
      </c>
      <c r="H1132" s="17">
        <f>信用曲线—价格!H1131</f>
        <v>39.180000000000014</v>
      </c>
      <c r="I1132" s="17">
        <f t="shared" si="281"/>
        <v>38.99016666666666</v>
      </c>
      <c r="J1132" s="17">
        <f t="shared" si="282"/>
        <v>2.2757114675669734</v>
      </c>
      <c r="K1132" s="17">
        <f t="shared" si="283"/>
        <v>43.541589601800609</v>
      </c>
      <c r="L1132" s="17">
        <f t="shared" si="284"/>
        <v>34.438743731532711</v>
      </c>
      <c r="M1132" s="17">
        <f t="shared" si="285"/>
        <v>52.085428403807164</v>
      </c>
      <c r="N1132" s="17">
        <f t="shared" si="286"/>
        <v>31.3896731370791</v>
      </c>
      <c r="O1132" s="18">
        <f>IFERROR(_xlfn.PERCENTRANK.EXC(INDEX(B:B, MAX(4, ROW()-251)):INDEX(B:B, ROW()), B1132), "")</f>
        <v>1.4999999999999999E-2</v>
      </c>
      <c r="P1132" s="18">
        <f>IFERROR(_xlfn.PERCENTRANK.EXC(INDEX(H:H, MAX(4, ROW()-251)):INDEX(H:H, ROW()), H1132), "")</f>
        <v>0.33900000000000002</v>
      </c>
      <c r="Q1132">
        <f t="shared" si="287"/>
        <v>0.17700000000000002</v>
      </c>
      <c r="R1132" s="1" t="str">
        <f t="shared" si="215"/>
        <v>中性</v>
      </c>
    </row>
    <row r="1133" spans="1:18">
      <c r="A1133" s="3">
        <f>信用曲线—价格!A1132</f>
        <v>46218</v>
      </c>
      <c r="B1133" s="14">
        <f>信用曲线—价格!D1132</f>
        <v>2.0644</v>
      </c>
      <c r="C1133" s="14">
        <f t="shared" si="276"/>
        <v>2.1098599999999998</v>
      </c>
      <c r="D1133" s="14">
        <f t="shared" si="277"/>
        <v>2.9569689015520227E-2</v>
      </c>
      <c r="E1133" s="14">
        <f t="shared" si="278"/>
        <v>2.1689993780310401</v>
      </c>
      <c r="F1133" s="14">
        <f t="shared" si="279"/>
        <v>2.0507206219689595</v>
      </c>
      <c r="G1133" s="17">
        <f t="shared" si="280"/>
        <v>11.565371911639495</v>
      </c>
      <c r="H1133" s="17">
        <f>信用曲线—价格!H1132</f>
        <v>39.599999999999994</v>
      </c>
      <c r="I1133" s="17">
        <f t="shared" si="281"/>
        <v>38.996833333333328</v>
      </c>
      <c r="J1133" s="17">
        <f t="shared" si="282"/>
        <v>2.2769221655609151</v>
      </c>
      <c r="K1133" s="17">
        <f t="shared" si="283"/>
        <v>43.550677664455158</v>
      </c>
      <c r="L1133" s="17">
        <f t="shared" si="284"/>
        <v>34.442989002211498</v>
      </c>
      <c r="M1133" s="17">
        <f t="shared" si="285"/>
        <v>56.622609632750418</v>
      </c>
      <c r="N1133" s="17">
        <f t="shared" si="286"/>
        <v>34.093990772194957</v>
      </c>
      <c r="O1133" s="18">
        <f>IFERROR(_xlfn.PERCENTRANK.EXC(INDEX(B:B, MAX(4, ROW()-251)):INDEX(B:B, ROW()), B1133), "")</f>
        <v>1.4999999999999999E-2</v>
      </c>
      <c r="P1133" s="18">
        <f>IFERROR(_xlfn.PERCENTRANK.EXC(INDEX(H:H, MAX(4, ROW()-251)):INDEX(H:H, ROW()), H1133), "")</f>
        <v>0.38700000000000001</v>
      </c>
      <c r="Q1133">
        <f t="shared" si="287"/>
        <v>0.20100000000000001</v>
      </c>
      <c r="R1133" s="1" t="str">
        <f t="shared" si="215"/>
        <v>中性</v>
      </c>
    </row>
    <row r="1134" spans="1:18">
      <c r="A1134" s="3">
        <f>信用曲线—价格!A1133</f>
        <v>46219</v>
      </c>
      <c r="B1134" s="14">
        <f>信用曲线—价格!D1133</f>
        <v>2.0688</v>
      </c>
      <c r="C1134" s="14">
        <f t="shared" si="276"/>
        <v>2.1084316666666667</v>
      </c>
      <c r="D1134" s="14">
        <f t="shared" si="277"/>
        <v>2.9446420700832157E-2</v>
      </c>
      <c r="E1134" s="14">
        <f t="shared" si="278"/>
        <v>2.1673245080683312</v>
      </c>
      <c r="F1134" s="14">
        <f t="shared" si="279"/>
        <v>2.0495388252650022</v>
      </c>
      <c r="G1134" s="17">
        <f t="shared" si="280"/>
        <v>16.352730040338479</v>
      </c>
      <c r="H1134" s="17">
        <f>信用曲线—价格!H1133</f>
        <v>39.789999999999992</v>
      </c>
      <c r="I1134" s="17">
        <f t="shared" si="281"/>
        <v>39.019999999999996</v>
      </c>
      <c r="J1134" s="17">
        <f t="shared" si="282"/>
        <v>2.2778178674530025</v>
      </c>
      <c r="K1134" s="17">
        <f t="shared" si="283"/>
        <v>43.575635734906001</v>
      </c>
      <c r="L1134" s="17">
        <f t="shared" si="284"/>
        <v>34.464364265093991</v>
      </c>
      <c r="M1134" s="17">
        <f t="shared" si="285"/>
        <v>58.451070770432032</v>
      </c>
      <c r="N1134" s="17">
        <f t="shared" si="286"/>
        <v>37.401900405385256</v>
      </c>
      <c r="O1134" s="18">
        <f>IFERROR(_xlfn.PERCENTRANK.EXC(INDEX(B:B, MAX(4, ROW()-251)):INDEX(B:B, ROW()), B1134), "")</f>
        <v>3.1E-2</v>
      </c>
      <c r="P1134" s="18">
        <f>IFERROR(_xlfn.PERCENTRANK.EXC(INDEX(H:H, MAX(4, ROW()-251)):INDEX(H:H, ROW()), H1134), "")</f>
        <v>0.40300000000000002</v>
      </c>
      <c r="Q1134">
        <f t="shared" si="287"/>
        <v>0.21700000000000003</v>
      </c>
      <c r="R1134" s="1" t="str">
        <f t="shared" si="215"/>
        <v>中性</v>
      </c>
    </row>
    <row r="1135" spans="1:18">
      <c r="A1135" s="3">
        <f>信用曲线—价格!A1134</f>
        <v>46220</v>
      </c>
      <c r="B1135" s="14">
        <f>信用曲线—价格!D1134</f>
        <v>2.0705</v>
      </c>
      <c r="C1135" s="14">
        <f t="shared" si="276"/>
        <v>2.1072199999999999</v>
      </c>
      <c r="D1135" s="14">
        <f t="shared" si="277"/>
        <v>2.9487226766396361E-2</v>
      </c>
      <c r="E1135" s="14">
        <f t="shared" si="278"/>
        <v>2.1661944535327926</v>
      </c>
      <c r="F1135" s="14">
        <f t="shared" si="279"/>
        <v>2.0482455464672071</v>
      </c>
      <c r="G1135" s="17">
        <f t="shared" si="280"/>
        <v>18.867876003648163</v>
      </c>
      <c r="H1135" s="17">
        <f>信用曲线—价格!H1134</f>
        <v>40.45000000000001</v>
      </c>
      <c r="I1135" s="17">
        <f t="shared" si="281"/>
        <v>39.068833333333323</v>
      </c>
      <c r="J1135" s="17">
        <f t="shared" si="282"/>
        <v>2.2765220958970187</v>
      </c>
      <c r="K1135" s="17">
        <f t="shared" si="283"/>
        <v>43.62187752512736</v>
      </c>
      <c r="L1135" s="17">
        <f t="shared" si="284"/>
        <v>34.515789141539287</v>
      </c>
      <c r="M1135" s="17">
        <f t="shared" si="285"/>
        <v>65.167507808906919</v>
      </c>
      <c r="N1135" s="17">
        <f t="shared" si="286"/>
        <v>42.017691906277541</v>
      </c>
      <c r="O1135" s="18">
        <f>IFERROR(_xlfn.PERCENTRANK.EXC(INDEX(B:B, MAX(4, ROW()-251)):INDEX(B:B, ROW()), B1135), "")</f>
        <v>3.5000000000000003E-2</v>
      </c>
      <c r="P1135" s="18">
        <f>IFERROR(_xlfn.PERCENTRANK.EXC(INDEX(H:H, MAX(4, ROW()-251)):INDEX(H:H, ROW()), H1135), "")</f>
        <v>0.46200000000000002</v>
      </c>
      <c r="Q1135">
        <f t="shared" si="287"/>
        <v>0.2485</v>
      </c>
      <c r="R1135" s="1" t="str">
        <f t="shared" si="215"/>
        <v>中性</v>
      </c>
    </row>
    <row r="1136" spans="1:18">
      <c r="A1136" s="3">
        <f>信用曲线—价格!A1135</f>
        <v>46223</v>
      </c>
      <c r="B1136" s="14">
        <f>信用曲线—价格!D1135</f>
        <v>2.0729000000000002</v>
      </c>
      <c r="C1136" s="14">
        <f t="shared" si="276"/>
        <v>2.106243333333333</v>
      </c>
      <c r="D1136" s="14">
        <f t="shared" si="277"/>
        <v>2.963947417513562E-2</v>
      </c>
      <c r="E1136" s="14">
        <f t="shared" si="278"/>
        <v>2.1655222816836042</v>
      </c>
      <c r="F1136" s="14">
        <f t="shared" si="279"/>
        <v>2.0469643849830619</v>
      </c>
      <c r="G1136" s="17">
        <f t="shared" si="280"/>
        <v>21.875906825883895</v>
      </c>
      <c r="H1136" s="17">
        <f>信用曲线—价格!H1135</f>
        <v>40.340000000000018</v>
      </c>
      <c r="I1136" s="17">
        <f t="shared" si="281"/>
        <v>39.129499999999993</v>
      </c>
      <c r="J1136" s="17">
        <f t="shared" si="282"/>
        <v>2.2607718983283553</v>
      </c>
      <c r="K1136" s="17">
        <f t="shared" si="283"/>
        <v>43.651043796656701</v>
      </c>
      <c r="L1136" s="17">
        <f t="shared" si="284"/>
        <v>34.607956203343285</v>
      </c>
      <c r="M1136" s="17">
        <f t="shared" si="285"/>
        <v>63.385914794136077</v>
      </c>
      <c r="N1136" s="17">
        <f t="shared" si="286"/>
        <v>42.630910810009986</v>
      </c>
      <c r="O1136" s="18">
        <f>IFERROR(_xlfn.PERCENTRANK.EXC(INDEX(B:B, MAX(4, ROW()-251)):INDEX(B:B, ROW()), B1136), "")</f>
        <v>3.9E-2</v>
      </c>
      <c r="P1136" s="18">
        <f>IFERROR(_xlfn.PERCENTRANK.EXC(INDEX(H:H, MAX(4, ROW()-251)):INDEX(H:H, ROW()), H1136), "")</f>
        <v>0.45</v>
      </c>
      <c r="Q1136">
        <f t="shared" si="287"/>
        <v>0.2445</v>
      </c>
      <c r="R1136" s="1" t="str">
        <f t="shared" si="215"/>
        <v>中性</v>
      </c>
    </row>
    <row r="1137" spans="1:18">
      <c r="A1137" s="3">
        <f>信用曲线—价格!A1136</f>
        <v>46224</v>
      </c>
      <c r="B1137" s="14">
        <f>信用曲线—价格!D1136</f>
        <v>2.0670000000000002</v>
      </c>
      <c r="C1137" s="14">
        <f t="shared" si="276"/>
        <v>2.1051349999999993</v>
      </c>
      <c r="D1137" s="14">
        <f t="shared" si="277"/>
        <v>2.9845596018423147E-2</v>
      </c>
      <c r="E1137" s="14">
        <f t="shared" si="278"/>
        <v>2.1648261920368457</v>
      </c>
      <c r="F1137" s="14">
        <f t="shared" si="279"/>
        <v>2.0454438079631529</v>
      </c>
      <c r="G1137" s="17">
        <f t="shared" si="280"/>
        <v>18.056426167147869</v>
      </c>
      <c r="H1137" s="17">
        <f>信用曲线—价格!H1136</f>
        <v>39.350000000000016</v>
      </c>
      <c r="I1137" s="17">
        <f t="shared" si="281"/>
        <v>39.191166666666646</v>
      </c>
      <c r="J1137" s="17">
        <f t="shared" si="282"/>
        <v>2.2142367485278283</v>
      </c>
      <c r="K1137" s="17">
        <f t="shared" si="283"/>
        <v>43.619640163722302</v>
      </c>
      <c r="L1137" s="17">
        <f t="shared" si="284"/>
        <v>34.762693169610991</v>
      </c>
      <c r="M1137" s="17">
        <f t="shared" si="285"/>
        <v>51.793319226579683</v>
      </c>
      <c r="N1137" s="17">
        <f t="shared" si="286"/>
        <v>34.924872696863773</v>
      </c>
      <c r="O1137" s="18">
        <f>IFERROR(_xlfn.PERCENTRANK.EXC(INDEX(B:B, MAX(4, ROW()-251)):INDEX(B:B, ROW()), B1137), "")</f>
        <v>3.1E-2</v>
      </c>
      <c r="P1137" s="18">
        <f>IFERROR(_xlfn.PERCENTRANK.EXC(INDEX(H:H, MAX(4, ROW()-251)):INDEX(H:H, ROW()), H1137), "")</f>
        <v>0.34300000000000003</v>
      </c>
      <c r="Q1137">
        <f t="shared" si="287"/>
        <v>0.187</v>
      </c>
      <c r="R1137" s="1" t="str">
        <f t="shared" si="215"/>
        <v>中性</v>
      </c>
    </row>
    <row r="1138" spans="1:18">
      <c r="A1138" s="3">
        <f>信用曲线—价格!A1137</f>
        <v>46225</v>
      </c>
      <c r="B1138" s="14">
        <f>信用曲线—价格!D1137</f>
        <v>2.0646</v>
      </c>
      <c r="C1138" s="14">
        <f t="shared" si="276"/>
        <v>2.1038933333333327</v>
      </c>
      <c r="D1138" s="14">
        <f t="shared" si="277"/>
        <v>2.9958099929942653E-2</v>
      </c>
      <c r="E1138" s="14">
        <f t="shared" si="278"/>
        <v>2.1638095331932181</v>
      </c>
      <c r="F1138" s="14">
        <f t="shared" si="279"/>
        <v>2.0439771334734473</v>
      </c>
      <c r="G1138" s="17">
        <f t="shared" si="280"/>
        <v>17.209758441606297</v>
      </c>
      <c r="H1138" s="17">
        <f>信用曲线—价格!H1137</f>
        <v>39.880000000000003</v>
      </c>
      <c r="I1138" s="17">
        <f t="shared" si="281"/>
        <v>39.281499999999987</v>
      </c>
      <c r="J1138" s="17">
        <f t="shared" si="282"/>
        <v>2.1267814666250215</v>
      </c>
      <c r="K1138" s="17">
        <f t="shared" si="283"/>
        <v>43.535062933250032</v>
      </c>
      <c r="L1138" s="17">
        <f t="shared" si="284"/>
        <v>35.027937066749942</v>
      </c>
      <c r="M1138" s="17">
        <f t="shared" si="285"/>
        <v>57.035278534632099</v>
      </c>
      <c r="N1138" s="17">
        <f t="shared" si="286"/>
        <v>37.122518488119198</v>
      </c>
      <c r="O1138" s="18">
        <f>IFERROR(_xlfn.PERCENTRANK.EXC(INDEX(B:B, MAX(4, ROW()-251)):INDEX(B:B, ROW()), B1138), "")</f>
        <v>1.9E-2</v>
      </c>
      <c r="P1138" s="18">
        <f>IFERROR(_xlfn.PERCENTRANK.EXC(INDEX(H:H, MAX(4, ROW()-251)):INDEX(H:H, ROW()), H1138), "")</f>
        <v>0.41499999999999998</v>
      </c>
      <c r="Q1138">
        <f t="shared" si="287"/>
        <v>0.217</v>
      </c>
      <c r="R1138" s="1" t="str">
        <f t="shared" si="215"/>
        <v>中性</v>
      </c>
    </row>
    <row r="1139" spans="1:18">
      <c r="A1139" s="3">
        <f>信用曲线—价格!A1138</f>
        <v>46226</v>
      </c>
      <c r="B1139" s="14">
        <f>信用曲线—价格!D1138</f>
        <v>2.0655000000000001</v>
      </c>
      <c r="C1139" s="14">
        <f t="shared" si="276"/>
        <v>2.1022933333333329</v>
      </c>
      <c r="D1139" s="14">
        <f t="shared" si="277"/>
        <v>2.9387446107148621E-2</v>
      </c>
      <c r="E1139" s="14">
        <f t="shared" si="278"/>
        <v>2.1610682255476301</v>
      </c>
      <c r="F1139" s="14">
        <f t="shared" si="279"/>
        <v>2.0435184411190357</v>
      </c>
      <c r="G1139" s="17">
        <f t="shared" si="280"/>
        <v>18.69978663747964</v>
      </c>
      <c r="H1139" s="17">
        <f>信用曲线—价格!H1138</f>
        <v>39.220000000000013</v>
      </c>
      <c r="I1139" s="17">
        <f t="shared" si="281"/>
        <v>39.346833333333322</v>
      </c>
      <c r="J1139" s="17">
        <f t="shared" si="282"/>
        <v>2.0616107670465533</v>
      </c>
      <c r="K1139" s="17">
        <f t="shared" si="283"/>
        <v>43.470054867426427</v>
      </c>
      <c r="L1139" s="17">
        <f t="shared" si="284"/>
        <v>35.223611799240217</v>
      </c>
      <c r="M1139" s="17">
        <f t="shared" si="285"/>
        <v>48.461963148419507</v>
      </c>
      <c r="N1139" s="17">
        <f t="shared" si="286"/>
        <v>33.580874892949574</v>
      </c>
      <c r="O1139" s="18">
        <f>IFERROR(_xlfn.PERCENTRANK.EXC(INDEX(B:B, MAX(4, ROW()-251)):INDEX(B:B, ROW()), B1139), "")</f>
        <v>2.7E-2</v>
      </c>
      <c r="P1139" s="18">
        <f>IFERROR(_xlfn.PERCENTRANK.EXC(INDEX(H:H, MAX(4, ROW()-251)):INDEX(H:H, ROW()), H1139), "")</f>
        <v>0.33200000000000002</v>
      </c>
      <c r="Q1139">
        <f t="shared" si="287"/>
        <v>0.17950000000000002</v>
      </c>
      <c r="R1139" s="1" t="str">
        <f t="shared" si="215"/>
        <v>中性</v>
      </c>
    </row>
    <row r="1140" spans="1:18">
      <c r="A1140" s="3">
        <f>信用曲线—价格!A1139</f>
        <v>46227</v>
      </c>
      <c r="B1140" s="14">
        <f>信用曲线—价格!D1139</f>
        <v>2.0655000000000001</v>
      </c>
      <c r="C1140" s="14">
        <f t="shared" si="276"/>
        <v>2.1010333333333326</v>
      </c>
      <c r="D1140" s="14">
        <f t="shared" si="277"/>
        <v>2.93159970598958E-2</v>
      </c>
      <c r="E1140" s="14">
        <f t="shared" si="278"/>
        <v>2.1596653274531241</v>
      </c>
      <c r="F1140" s="14">
        <f t="shared" si="279"/>
        <v>2.0424013392135412</v>
      </c>
      <c r="G1140" s="17">
        <f t="shared" si="280"/>
        <v>19.698000326635572</v>
      </c>
      <c r="H1140" s="17">
        <f>信用曲线—价格!H1139</f>
        <v>39.050000000000004</v>
      </c>
      <c r="I1140" s="17">
        <f t="shared" si="281"/>
        <v>39.423333333333325</v>
      </c>
      <c r="J1140" s="17">
        <f t="shared" si="282"/>
        <v>1.9598509686221179</v>
      </c>
      <c r="K1140" s="17">
        <f t="shared" si="283"/>
        <v>43.343035270577559</v>
      </c>
      <c r="L1140" s="17">
        <f t="shared" si="284"/>
        <v>35.503631396089091</v>
      </c>
      <c r="M1140" s="17">
        <f t="shared" si="285"/>
        <v>45.237733132384619</v>
      </c>
      <c r="N1140" s="17">
        <f t="shared" si="286"/>
        <v>32.467866729510092</v>
      </c>
      <c r="O1140" s="18">
        <f>IFERROR(_xlfn.PERCENTRANK.EXC(INDEX(B:B, MAX(4, ROW()-251)):INDEX(B:B, ROW()), B1140), "")</f>
        <v>2.7E-2</v>
      </c>
      <c r="P1140" s="18">
        <f>IFERROR(_xlfn.PERCENTRANK.EXC(INDEX(H:H, MAX(4, ROW()-251)):INDEX(H:H, ROW()), H1140), "")</f>
        <v>0.312</v>
      </c>
      <c r="Q1140">
        <f t="shared" si="287"/>
        <v>0.16950000000000001</v>
      </c>
      <c r="R1140" s="1" t="str">
        <f t="shared" si="215"/>
        <v>中性</v>
      </c>
    </row>
    <row r="1141" spans="1:18">
      <c r="A1141" s="3">
        <f>信用曲线—价格!A1140</f>
        <v>46230</v>
      </c>
      <c r="B1141" s="14">
        <f>信用曲线—价格!D1140</f>
        <v>2.0648</v>
      </c>
      <c r="C1141" s="14">
        <f t="shared" si="276"/>
        <v>2.0998216666666663</v>
      </c>
      <c r="D1141" s="14">
        <f t="shared" si="277"/>
        <v>2.9285613357372488E-2</v>
      </c>
      <c r="E1141" s="14">
        <f t="shared" si="278"/>
        <v>2.1583928933814112</v>
      </c>
      <c r="F1141" s="14">
        <f t="shared" si="279"/>
        <v>2.0412504399519213</v>
      </c>
      <c r="G1141" s="17">
        <f t="shared" si="280"/>
        <v>20.103352250730801</v>
      </c>
      <c r="H1141" s="17">
        <f>信用曲线—价格!H1140</f>
        <v>38.729999999999997</v>
      </c>
      <c r="I1141" s="17">
        <f t="shared" si="281"/>
        <v>39.471333333333327</v>
      </c>
      <c r="J1141" s="17">
        <f t="shared" si="282"/>
        <v>1.9053612733339891</v>
      </c>
      <c r="K1141" s="17">
        <f t="shared" si="283"/>
        <v>43.282055880001302</v>
      </c>
      <c r="L1141" s="17">
        <f t="shared" si="284"/>
        <v>35.660610786665352</v>
      </c>
      <c r="M1141" s="17">
        <f t="shared" si="285"/>
        <v>40.273060761383192</v>
      </c>
      <c r="N1141" s="17">
        <f t="shared" si="286"/>
        <v>30.188206506056996</v>
      </c>
      <c r="O1141" s="18">
        <f>IFERROR(_xlfn.PERCENTRANK.EXC(INDEX(B:B, MAX(4, ROW()-251)):INDEX(B:B, ROW()), B1141), "")</f>
        <v>2.7E-2</v>
      </c>
      <c r="P1141" s="18">
        <f>IFERROR(_xlfn.PERCENTRANK.EXC(INDEX(H:H, MAX(4, ROW()-251)):INDEX(H:H, ROW()), H1141), "")</f>
        <v>0.29199999999999998</v>
      </c>
      <c r="Q1141">
        <f t="shared" si="287"/>
        <v>0.1595</v>
      </c>
      <c r="R1141" s="1" t="str">
        <f t="shared" si="215"/>
        <v>中性</v>
      </c>
    </row>
    <row r="1142" spans="1:18">
      <c r="A1142" s="3">
        <f>信用曲线—价格!A1141</f>
        <v>46231</v>
      </c>
      <c r="B1142" s="14">
        <f>信用曲线—价格!D1141</f>
        <v>2.0684999999999998</v>
      </c>
      <c r="C1142" s="14">
        <f t="shared" si="276"/>
        <v>2.0985266666666664</v>
      </c>
      <c r="D1142" s="14">
        <f t="shared" si="277"/>
        <v>2.8915615783831967E-2</v>
      </c>
      <c r="E1142" s="14">
        <f t="shared" si="278"/>
        <v>2.1563578982343303</v>
      </c>
      <c r="F1142" s="14">
        <f t="shared" si="279"/>
        <v>2.0406954350990025</v>
      </c>
      <c r="G1142" s="17">
        <f t="shared" si="280"/>
        <v>24.039402367270409</v>
      </c>
      <c r="H1142" s="17">
        <f>信用曲线—价格!H1141</f>
        <v>38.409999999999989</v>
      </c>
      <c r="I1142" s="17">
        <f t="shared" si="281"/>
        <v>39.50783333333333</v>
      </c>
      <c r="J1142" s="17">
        <f t="shared" si="282"/>
        <v>1.8625161509177293</v>
      </c>
      <c r="K1142" s="17">
        <f t="shared" si="283"/>
        <v>43.232865635168793</v>
      </c>
      <c r="L1142" s="17">
        <f t="shared" si="284"/>
        <v>35.782801031497868</v>
      </c>
      <c r="M1142" s="17">
        <f t="shared" si="285"/>
        <v>35.264109887149196</v>
      </c>
      <c r="N1142" s="17">
        <f t="shared" si="286"/>
        <v>29.651756127209801</v>
      </c>
      <c r="O1142" s="18">
        <f>IFERROR(_xlfn.PERCENTRANK.EXC(INDEX(B:B, MAX(4, ROW()-251)):INDEX(B:B, ROW()), B1142), "")</f>
        <v>5.0999999999999997E-2</v>
      </c>
      <c r="P1142" s="18">
        <f>IFERROR(_xlfn.PERCENTRANK.EXC(INDEX(H:H, MAX(4, ROW()-251)):INDEX(H:H, ROW()), H1142), "")</f>
        <v>0.249</v>
      </c>
      <c r="Q1142">
        <f t="shared" si="287"/>
        <v>0.15</v>
      </c>
      <c r="R1142" s="1" t="str">
        <f t="shared" si="215"/>
        <v>中性</v>
      </c>
    </row>
    <row r="1143" spans="1:18">
      <c r="A1143" s="3">
        <f>信用曲线—价格!A1142</f>
        <v>46232</v>
      </c>
      <c r="B1143" s="14">
        <f>信用曲线—价格!D1142</f>
        <v>2.0773999999999999</v>
      </c>
      <c r="C1143" s="14">
        <f t="shared" si="276"/>
        <v>2.0971966666666662</v>
      </c>
      <c r="D1143" s="14">
        <f t="shared" si="277"/>
        <v>2.7991614765410396E-2</v>
      </c>
      <c r="E1143" s="14">
        <f t="shared" si="278"/>
        <v>2.1531798961974871</v>
      </c>
      <c r="F1143" s="14">
        <f t="shared" si="279"/>
        <v>2.0412134371358452</v>
      </c>
      <c r="G1143" s="17">
        <f t="shared" si="280"/>
        <v>32.319109818622181</v>
      </c>
      <c r="H1143" s="17">
        <f>信用曲线—价格!H1142</f>
        <v>39.639999999999986</v>
      </c>
      <c r="I1143" s="17">
        <f t="shared" si="281"/>
        <v>39.554833333333328</v>
      </c>
      <c r="J1143" s="17">
        <f t="shared" si="282"/>
        <v>1.8288159470984489</v>
      </c>
      <c r="K1143" s="17">
        <f t="shared" si="283"/>
        <v>43.212465227530224</v>
      </c>
      <c r="L1143" s="17">
        <f t="shared" si="284"/>
        <v>35.897201439136431</v>
      </c>
      <c r="M1143" s="17">
        <f t="shared" si="285"/>
        <v>51.164232338439824</v>
      </c>
      <c r="N1143" s="17">
        <f t="shared" si="286"/>
        <v>41.741671078530999</v>
      </c>
      <c r="O1143" s="18">
        <f>IFERROR(_xlfn.PERCENTRANK.EXC(INDEX(B:B, MAX(4, ROW()-251)):INDEX(B:B, ROW()), B1143), "")</f>
        <v>7.9000000000000001E-2</v>
      </c>
      <c r="P1143" s="18">
        <f>IFERROR(_xlfn.PERCENTRANK.EXC(INDEX(H:H, MAX(4, ROW()-251)):INDEX(H:H, ROW()), H1143), "")</f>
        <v>0.38700000000000001</v>
      </c>
      <c r="Q1143">
        <f t="shared" si="287"/>
        <v>0.23300000000000001</v>
      </c>
      <c r="R1143" s="1" t="str">
        <f t="shared" si="215"/>
        <v>中性</v>
      </c>
    </row>
    <row r="1144" spans="1:18">
      <c r="A1144" s="3">
        <f>信用曲线—价格!A1143</f>
        <v>46233</v>
      </c>
      <c r="B1144" s="14">
        <f>信用曲线—价格!D1143</f>
        <v>2.0788000000000002</v>
      </c>
      <c r="C1144" s="14">
        <f t="shared" si="276"/>
        <v>2.0959566666666669</v>
      </c>
      <c r="D1144" s="14">
        <f t="shared" si="277"/>
        <v>2.7102475755738539E-2</v>
      </c>
      <c r="E1144" s="14">
        <f t="shared" si="278"/>
        <v>2.150161618178144</v>
      </c>
      <c r="F1144" s="14">
        <f t="shared" si="279"/>
        <v>2.0417517151551898</v>
      </c>
      <c r="G1144" s="17">
        <f t="shared" si="280"/>
        <v>34.174262508994182</v>
      </c>
      <c r="H1144" s="17">
        <f>信用曲线—价格!H1143</f>
        <v>40.460000000000029</v>
      </c>
      <c r="I1144" s="17">
        <f t="shared" si="281"/>
        <v>39.614999999999995</v>
      </c>
      <c r="J1144" s="17">
        <f t="shared" si="282"/>
        <v>1.797434612563332</v>
      </c>
      <c r="K1144" s="17">
        <f t="shared" si="283"/>
        <v>43.20986922512666</v>
      </c>
      <c r="L1144" s="17">
        <f t="shared" si="284"/>
        <v>36.02013077487333</v>
      </c>
      <c r="M1144" s="17">
        <f t="shared" si="285"/>
        <v>61.75286146842047</v>
      </c>
      <c r="N1144" s="17">
        <f t="shared" si="286"/>
        <v>47.963561988707326</v>
      </c>
      <c r="O1144" s="18">
        <f>IFERROR(_xlfn.PERCENTRANK.EXC(INDEX(B:B, MAX(4, ROW()-251)):INDEX(B:B, ROW()), B1144), "")</f>
        <v>8.3000000000000004E-2</v>
      </c>
      <c r="P1144" s="18">
        <f>IFERROR(_xlfn.PERCENTRANK.EXC(INDEX(H:H, MAX(4, ROW()-251)):INDEX(H:H, ROW()), H1144), "")</f>
        <v>0.46200000000000002</v>
      </c>
      <c r="Q1144">
        <f t="shared" si="287"/>
        <v>0.27250000000000002</v>
      </c>
      <c r="R1144" s="1" t="str">
        <f t="shared" si="215"/>
        <v>中性</v>
      </c>
    </row>
    <row r="1145" spans="1:18">
      <c r="A1145" s="3">
        <f>信用曲线—价格!A1144</f>
        <v>46234</v>
      </c>
      <c r="B1145" s="14">
        <f>信用曲线—价格!D1144</f>
        <v>2.0718999999999999</v>
      </c>
      <c r="C1145" s="14">
        <f t="shared" si="276"/>
        <v>2.0946466666666668</v>
      </c>
      <c r="D1145" s="14">
        <f t="shared" si="277"/>
        <v>2.6309400695792205E-2</v>
      </c>
      <c r="E1145" s="14">
        <f t="shared" si="278"/>
        <v>2.1472654680582512</v>
      </c>
      <c r="F1145" s="14">
        <f t="shared" si="279"/>
        <v>2.0420278652750823</v>
      </c>
      <c r="G1145" s="17">
        <f t="shared" si="280"/>
        <v>28.385419217944335</v>
      </c>
      <c r="H1145" s="17">
        <f>信用曲线—价格!H1144</f>
        <v>40.189999999999991</v>
      </c>
      <c r="I1145" s="17">
        <f t="shared" si="281"/>
        <v>39.670999999999999</v>
      </c>
      <c r="J1145" s="17">
        <f t="shared" si="282"/>
        <v>1.7611713167036527</v>
      </c>
      <c r="K1145" s="17">
        <f t="shared" si="283"/>
        <v>43.193342633407305</v>
      </c>
      <c r="L1145" s="17">
        <f t="shared" si="284"/>
        <v>36.148657366592694</v>
      </c>
      <c r="M1145" s="17">
        <f t="shared" si="285"/>
        <v>57.367256028382755</v>
      </c>
      <c r="N1145" s="17">
        <f t="shared" si="286"/>
        <v>42.876337623163543</v>
      </c>
      <c r="O1145" s="18">
        <f>IFERROR(_xlfn.PERCENTRANK.EXC(INDEX(B:B, MAX(4, ROW()-251)):INDEX(B:B, ROW()), B1145), "")</f>
        <v>6.3E-2</v>
      </c>
      <c r="P1145" s="18">
        <f>IFERROR(_xlfn.PERCENTRANK.EXC(INDEX(H:H, MAX(4, ROW()-251)):INDEX(H:H, ROW()), H1145), "")</f>
        <v>0.438</v>
      </c>
      <c r="Q1145">
        <f t="shared" si="287"/>
        <v>0.2505</v>
      </c>
      <c r="R1145" s="1" t="str">
        <f t="shared" si="215"/>
        <v>中性</v>
      </c>
    </row>
    <row r="1146" spans="1:18">
      <c r="A1146" s="3">
        <f>信用曲线—价格!A1145</f>
        <v>46237</v>
      </c>
      <c r="B1146" s="14">
        <f>信用曲线—价格!D1145</f>
        <v>2.0735000000000001</v>
      </c>
      <c r="C1146" s="14">
        <f t="shared" si="276"/>
        <v>2.0934233333333334</v>
      </c>
      <c r="D1146" s="14">
        <f t="shared" si="277"/>
        <v>2.55335828490117E-2</v>
      </c>
      <c r="E1146" s="14">
        <f t="shared" si="278"/>
        <v>2.1444904990313569</v>
      </c>
      <c r="F1146" s="14">
        <f t="shared" si="279"/>
        <v>2.0423561676353099</v>
      </c>
      <c r="G1146" s="17">
        <f t="shared" si="280"/>
        <v>30.493010468657747</v>
      </c>
      <c r="H1146" s="17">
        <f>信用曲线—价格!H1145</f>
        <v>40.1</v>
      </c>
      <c r="I1146" s="17">
        <f t="shared" si="281"/>
        <v>39.73149999999999</v>
      </c>
      <c r="J1146" s="17">
        <f t="shared" si="282"/>
        <v>1.7109803166804152</v>
      </c>
      <c r="K1146" s="17">
        <f t="shared" si="283"/>
        <v>43.153460633360822</v>
      </c>
      <c r="L1146" s="17">
        <f t="shared" si="284"/>
        <v>36.309539366639157</v>
      </c>
      <c r="M1146" s="17">
        <f t="shared" si="285"/>
        <v>55.384340141255436</v>
      </c>
      <c r="N1146" s="17">
        <f t="shared" si="286"/>
        <v>42.93867530495659</v>
      </c>
      <c r="O1146" s="18">
        <f>IFERROR(_xlfn.PERCENTRANK.EXC(INDEX(B:B, MAX(4, ROW()-251)):INDEX(B:B, ROW()), B1146), "")</f>
        <v>7.0999999999999994E-2</v>
      </c>
      <c r="P1146" s="18">
        <f>IFERROR(_xlfn.PERCENTRANK.EXC(INDEX(H:H, MAX(4, ROW()-251)):INDEX(H:H, ROW()), H1146), "")</f>
        <v>0.434</v>
      </c>
      <c r="Q1146">
        <f t="shared" si="287"/>
        <v>0.2525</v>
      </c>
      <c r="R1146" s="1" t="str">
        <f t="shared" si="215"/>
        <v>中性</v>
      </c>
    </row>
    <row r="1147" spans="1:18">
      <c r="A1147" s="3">
        <f>信用曲线—价格!A1146</f>
        <v>46238</v>
      </c>
      <c r="B1147" s="14">
        <f>信用曲线—价格!D1146</f>
        <v>2.0828000000000002</v>
      </c>
      <c r="C1147" s="14">
        <f t="shared" si="276"/>
        <v>2.0922000000000001</v>
      </c>
      <c r="D1147" s="14">
        <f t="shared" si="277"/>
        <v>2.4198340046725282E-2</v>
      </c>
      <c r="E1147" s="14">
        <f t="shared" si="278"/>
        <v>2.1405966800934508</v>
      </c>
      <c r="F1147" s="14">
        <f t="shared" si="279"/>
        <v>2.0438033199065493</v>
      </c>
      <c r="G1147" s="17">
        <f t="shared" si="280"/>
        <v>40.288590062532101</v>
      </c>
      <c r="H1147" s="17">
        <f>信用曲线—价格!H1146</f>
        <v>41.730000000000025</v>
      </c>
      <c r="I1147" s="17">
        <f t="shared" si="281"/>
        <v>39.791166666666655</v>
      </c>
      <c r="J1147" s="17">
        <f t="shared" si="282"/>
        <v>1.7173048372245454</v>
      </c>
      <c r="K1147" s="17">
        <f t="shared" si="283"/>
        <v>43.225776341115747</v>
      </c>
      <c r="L1147" s="17">
        <f t="shared" si="284"/>
        <v>36.356556992217563</v>
      </c>
      <c r="M1147" s="17">
        <f t="shared" si="285"/>
        <v>78.22494427469924</v>
      </c>
      <c r="N1147" s="17">
        <f t="shared" si="286"/>
        <v>59.256767168615667</v>
      </c>
      <c r="O1147" s="18">
        <f>IFERROR(_xlfn.PERCENTRANK.EXC(INDEX(B:B, MAX(4, ROW()-251)):INDEX(B:B, ROW()), B1147), "")</f>
        <v>0.10199999999999999</v>
      </c>
      <c r="P1147" s="18">
        <f>IFERROR(_xlfn.PERCENTRANK.EXC(INDEX(H:H, MAX(4, ROW()-251)):INDEX(H:H, ROW()), H1147), "")</f>
        <v>0.58799999999999997</v>
      </c>
      <c r="Q1147">
        <f t="shared" si="287"/>
        <v>0.34499999999999997</v>
      </c>
      <c r="R1147" s="1" t="str">
        <f t="shared" si="215"/>
        <v>中性</v>
      </c>
    </row>
    <row r="1148" spans="1:18">
      <c r="A1148" s="3">
        <f>信用曲线—价格!A1147</f>
        <v>46239</v>
      </c>
      <c r="B1148" s="14">
        <f>信用曲线—价格!D1147</f>
        <v>2.0728</v>
      </c>
      <c r="C1148" s="14">
        <f t="shared" si="276"/>
        <v>2.0908816666666667</v>
      </c>
      <c r="D1148" s="14">
        <f t="shared" si="277"/>
        <v>2.3016578341080004E-2</v>
      </c>
      <c r="E1148" s="14">
        <f t="shared" si="278"/>
        <v>2.1369148233488269</v>
      </c>
      <c r="F1148" s="14">
        <f t="shared" si="279"/>
        <v>2.0448485099845066</v>
      </c>
      <c r="G1148" s="17">
        <f t="shared" si="280"/>
        <v>30.360170831306235</v>
      </c>
      <c r="H1148" s="17">
        <f>信用曲线—价格!H1147</f>
        <v>41.1</v>
      </c>
      <c r="I1148" s="17">
        <f t="shared" si="281"/>
        <v>39.834999999999994</v>
      </c>
      <c r="J1148" s="17">
        <f t="shared" si="282"/>
        <v>1.7165757202610814</v>
      </c>
      <c r="K1148" s="17">
        <f t="shared" si="283"/>
        <v>43.268151440522153</v>
      </c>
      <c r="L1148" s="17">
        <f t="shared" si="284"/>
        <v>36.401848559477834</v>
      </c>
      <c r="M1148" s="17">
        <f t="shared" si="285"/>
        <v>68.423306136003276</v>
      </c>
      <c r="N1148" s="17">
        <f t="shared" si="286"/>
        <v>49.391738483654755</v>
      </c>
      <c r="O1148" s="18">
        <f>IFERROR(_xlfn.PERCENTRANK.EXC(INDEX(B:B, MAX(4, ROW()-251)):INDEX(B:B, ROW()), B1148), "")</f>
        <v>6.7000000000000004E-2</v>
      </c>
      <c r="P1148" s="18">
        <f>IFERROR(_xlfn.PERCENTRANK.EXC(INDEX(H:H, MAX(4, ROW()-251)):INDEX(H:H, ROW()), H1148), "")</f>
        <v>0.51700000000000002</v>
      </c>
      <c r="Q1148">
        <f t="shared" si="287"/>
        <v>0.29200000000000004</v>
      </c>
      <c r="R1148" s="1" t="str">
        <f t="shared" si="215"/>
        <v>中性</v>
      </c>
    </row>
    <row r="1149" spans="1:18">
      <c r="A1149" s="3">
        <f>信用曲线—价格!A1148</f>
        <v>46240</v>
      </c>
      <c r="B1149" s="14">
        <f>信用曲线—价格!D1148</f>
        <v>2.0727000000000002</v>
      </c>
      <c r="C1149" s="14">
        <f t="shared" si="276"/>
        <v>2.0897033333333335</v>
      </c>
      <c r="D1149" s="14">
        <f t="shared" si="277"/>
        <v>2.2072722384117616E-2</v>
      </c>
      <c r="E1149" s="14">
        <f t="shared" si="278"/>
        <v>2.1338487781015685</v>
      </c>
      <c r="F1149" s="14">
        <f t="shared" si="279"/>
        <v>2.0455578885650985</v>
      </c>
      <c r="G1149" s="17">
        <f t="shared" si="280"/>
        <v>30.741689858827677</v>
      </c>
      <c r="H1149" s="17">
        <f>信用曲线—价格!H1148</f>
        <v>41.690000000000026</v>
      </c>
      <c r="I1149" s="17">
        <f t="shared" si="281"/>
        <v>39.888999999999996</v>
      </c>
      <c r="J1149" s="17">
        <f t="shared" si="282"/>
        <v>1.7232170348370408</v>
      </c>
      <c r="K1149" s="17">
        <f t="shared" si="283"/>
        <v>43.335434069674079</v>
      </c>
      <c r="L1149" s="17">
        <f t="shared" si="284"/>
        <v>36.442565930325912</v>
      </c>
      <c r="M1149" s="17">
        <f t="shared" si="285"/>
        <v>76.128455725403512</v>
      </c>
      <c r="N1149" s="17">
        <f t="shared" si="286"/>
        <v>53.435072792115591</v>
      </c>
      <c r="O1149" s="18">
        <f>IFERROR(_xlfn.PERCENTRANK.EXC(INDEX(B:B, MAX(4, ROW()-251)):INDEX(B:B, ROW()), B1149), "")</f>
        <v>6.7000000000000004E-2</v>
      </c>
      <c r="P1149" s="18">
        <f>IFERROR(_xlfn.PERCENTRANK.EXC(INDEX(H:H, MAX(4, ROW()-251)):INDEX(H:H, ROW()), H1149), "")</f>
        <v>0.58399999999999996</v>
      </c>
      <c r="Q1149">
        <f t="shared" si="287"/>
        <v>0.32550000000000001</v>
      </c>
      <c r="R1149" s="1" t="str">
        <f t="shared" si="215"/>
        <v>中性</v>
      </c>
    </row>
    <row r="1150" spans="1:18">
      <c r="A1150" s="3">
        <f>信用曲线—价格!A1149</f>
        <v>46241</v>
      </c>
      <c r="B1150" s="14">
        <f>信用曲线—价格!D1149</f>
        <v>2.0794999999999999</v>
      </c>
      <c r="C1150" s="14">
        <f t="shared" si="276"/>
        <v>2.0886300000000002</v>
      </c>
      <c r="D1150" s="14">
        <f t="shared" si="277"/>
        <v>2.0928775908230966E-2</v>
      </c>
      <c r="E1150" s="14">
        <f t="shared" si="278"/>
        <v>2.1304875518164623</v>
      </c>
      <c r="F1150" s="14">
        <f t="shared" si="279"/>
        <v>2.0467724481835381</v>
      </c>
      <c r="G1150" s="17">
        <f t="shared" si="280"/>
        <v>39.093963211186214</v>
      </c>
      <c r="H1150" s="17">
        <f>信用曲线—价格!H1149</f>
        <v>42.76</v>
      </c>
      <c r="I1150" s="17">
        <f t="shared" si="281"/>
        <v>39.967499999999994</v>
      </c>
      <c r="J1150" s="17">
        <f t="shared" si="282"/>
        <v>1.7451634132605096</v>
      </c>
      <c r="K1150" s="17">
        <f t="shared" si="283"/>
        <v>43.457826826521014</v>
      </c>
      <c r="L1150" s="17">
        <f t="shared" si="284"/>
        <v>36.477173173478974</v>
      </c>
      <c r="M1150" s="17">
        <f t="shared" si="285"/>
        <v>90.003417141073655</v>
      </c>
      <c r="N1150" s="17">
        <f t="shared" si="286"/>
        <v>64.548690176129938</v>
      </c>
      <c r="O1150" s="18">
        <f>IFERROR(_xlfn.PERCENTRANK.EXC(INDEX(B:B, MAX(4, ROW()-251)):INDEX(B:B, ROW()), B1150), "")</f>
        <v>0.10199999999999999</v>
      </c>
      <c r="P1150" s="18">
        <f>IFERROR(_xlfn.PERCENTRANK.EXC(INDEX(H:H, MAX(4, ROW()-251)):INDEX(H:H, ROW()), H1150), "")</f>
        <v>0.70299999999999996</v>
      </c>
      <c r="Q1150">
        <f t="shared" si="287"/>
        <v>0.40249999999999997</v>
      </c>
      <c r="R1150" s="1" t="str">
        <f t="shared" si="215"/>
        <v>中性</v>
      </c>
    </row>
    <row r="1151" spans="1:18">
      <c r="A1151" s="3">
        <f>信用曲线—价格!A1150</f>
        <v>46244</v>
      </c>
      <c r="B1151" s="14">
        <f>信用曲线—价格!D1150</f>
        <v>2.0600999999999998</v>
      </c>
      <c r="C1151" s="14">
        <f t="shared" si="276"/>
        <v>2.087485</v>
      </c>
      <c r="D1151" s="14">
        <f t="shared" si="277"/>
        <v>2.0570044247375421E-2</v>
      </c>
      <c r="E1151" s="14">
        <f t="shared" si="278"/>
        <v>2.1286250884947511</v>
      </c>
      <c r="F1151" s="14">
        <f t="shared" si="279"/>
        <v>2.046344911505249</v>
      </c>
      <c r="G1151" s="17">
        <f t="shared" si="280"/>
        <v>16.717378350444967</v>
      </c>
      <c r="H1151" s="17">
        <f>信用曲线—价格!H1150</f>
        <v>41.069999999999986</v>
      </c>
      <c r="I1151" s="17">
        <f t="shared" si="281"/>
        <v>40.043000000000006</v>
      </c>
      <c r="J1151" s="17">
        <f t="shared" si="282"/>
        <v>1.6915335535282423</v>
      </c>
      <c r="K1151" s="17">
        <f t="shared" si="283"/>
        <v>43.42606710705649</v>
      </c>
      <c r="L1151" s="17">
        <f t="shared" si="284"/>
        <v>36.659932892943523</v>
      </c>
      <c r="M1151" s="17">
        <f t="shared" si="285"/>
        <v>65.178534263447489</v>
      </c>
      <c r="N1151" s="17">
        <f t="shared" si="286"/>
        <v>40.947956306946224</v>
      </c>
      <c r="O1151" s="18">
        <f>IFERROR(_xlfn.PERCENTRANK.EXC(INDEX(B:B, MAX(4, ROW()-251)):INDEX(B:B, ROW()), B1151), "")</f>
        <v>1.0999999999999999E-2</v>
      </c>
      <c r="P1151" s="18">
        <f>IFERROR(_xlfn.PERCENTRANK.EXC(INDEX(H:H, MAX(4, ROW()-251)):INDEX(H:H, ROW()), H1151), "")</f>
        <v>0.505</v>
      </c>
      <c r="Q1151">
        <f t="shared" si="287"/>
        <v>0.25800000000000001</v>
      </c>
      <c r="R1151" s="1" t="str">
        <f t="shared" si="215"/>
        <v>中性</v>
      </c>
    </row>
    <row r="1152" spans="1:18">
      <c r="A1152" s="3">
        <f>信用曲线—价格!A1151</f>
        <v>46245</v>
      </c>
      <c r="B1152" s="14">
        <f>信用曲线—价格!D1151</f>
        <v>2.0552999999999999</v>
      </c>
      <c r="C1152" s="14">
        <f t="shared" si="276"/>
        <v>2.0861366666666665</v>
      </c>
      <c r="D1152" s="14">
        <f t="shared" si="277"/>
        <v>1.996527465602202E-2</v>
      </c>
      <c r="E1152" s="14">
        <f t="shared" si="278"/>
        <v>2.1260672159787104</v>
      </c>
      <c r="F1152" s="14">
        <f t="shared" si="279"/>
        <v>2.0462061173546227</v>
      </c>
      <c r="G1152" s="17">
        <f t="shared" si="280"/>
        <v>11.387124397302427</v>
      </c>
      <c r="H1152" s="17">
        <f>信用曲线—价格!H1151</f>
        <v>39.589999999999989</v>
      </c>
      <c r="I1152" s="17">
        <f t="shared" si="281"/>
        <v>40.062833333333337</v>
      </c>
      <c r="J1152" s="17">
        <f t="shared" si="282"/>
        <v>1.6788717879057966</v>
      </c>
      <c r="K1152" s="17">
        <f t="shared" si="283"/>
        <v>43.420576909144927</v>
      </c>
      <c r="L1152" s="17">
        <f t="shared" si="284"/>
        <v>36.705089757521748</v>
      </c>
      <c r="M1152" s="17">
        <f t="shared" si="285"/>
        <v>42.95906130623657</v>
      </c>
      <c r="N1152" s="17">
        <f t="shared" si="286"/>
        <v>27.1730928517695</v>
      </c>
      <c r="O1152" s="18">
        <f>IFERROR(_xlfn.PERCENTRANK.EXC(INDEX(B:B, MAX(4, ROW()-251)):INDEX(B:B, ROW()), B1152), "")</f>
        <v>7.0000000000000001E-3</v>
      </c>
      <c r="P1152" s="18">
        <f>IFERROR(_xlfn.PERCENTRANK.EXC(INDEX(H:H, MAX(4, ROW()-251)):INDEX(H:H, ROW()), H1152), "")</f>
        <v>0.33500000000000002</v>
      </c>
      <c r="Q1152">
        <f t="shared" si="287"/>
        <v>0.17100000000000001</v>
      </c>
      <c r="R1152" s="1" t="str">
        <f t="shared" si="215"/>
        <v>中性</v>
      </c>
    </row>
    <row r="1153" spans="1:18">
      <c r="A1153" s="3">
        <f>信用曲线—价格!A1152</f>
        <v>46246</v>
      </c>
      <c r="B1153" s="14">
        <f>信用曲线—价格!D1152</f>
        <v>2.0546000000000002</v>
      </c>
      <c r="C1153" s="14">
        <f t="shared" si="276"/>
        <v>2.0848800000000001</v>
      </c>
      <c r="D1153" s="14">
        <f t="shared" si="277"/>
        <v>1.9525704917937599E-2</v>
      </c>
      <c r="E1153" s="14">
        <f t="shared" si="278"/>
        <v>2.1239314098358753</v>
      </c>
      <c r="F1153" s="14">
        <f t="shared" si="279"/>
        <v>2.0458285901641249</v>
      </c>
      <c r="G1153" s="17">
        <f t="shared" si="280"/>
        <v>11.230593047395345</v>
      </c>
      <c r="H1153" s="17">
        <f>信用曲线—价格!H1152</f>
        <v>39.430000000000007</v>
      </c>
      <c r="I1153" s="17">
        <f t="shared" si="281"/>
        <v>40.063666666666677</v>
      </c>
      <c r="J1153" s="17">
        <f t="shared" si="282"/>
        <v>1.6785394848676949</v>
      </c>
      <c r="K1153" s="17">
        <f t="shared" si="283"/>
        <v>43.420745636402067</v>
      </c>
      <c r="L1153" s="17">
        <f t="shared" si="284"/>
        <v>36.706587696931287</v>
      </c>
      <c r="M1153" s="17">
        <f t="shared" si="285"/>
        <v>40.562231744035849</v>
      </c>
      <c r="N1153" s="17">
        <f t="shared" si="286"/>
        <v>25.896412395715597</v>
      </c>
      <c r="O1153" s="18">
        <f>IFERROR(_xlfn.PERCENTRANK.EXC(INDEX(B:B, MAX(4, ROW()-251)):INDEX(B:B, ROW()), B1153), "")</f>
        <v>7.0000000000000001E-3</v>
      </c>
      <c r="P1153" s="18">
        <f>IFERROR(_xlfn.PERCENTRANK.EXC(INDEX(H:H, MAX(4, ROW()-251)):INDEX(H:H, ROW()), H1153), "")</f>
        <v>0.30399999999999999</v>
      </c>
      <c r="Q1153">
        <f t="shared" si="287"/>
        <v>0.1555</v>
      </c>
      <c r="R1153" s="1" t="str">
        <f t="shared" si="215"/>
        <v>中性</v>
      </c>
    </row>
    <row r="1154" spans="1:18">
      <c r="A1154" s="3">
        <f>信用曲线—价格!A1153</f>
        <v>46247</v>
      </c>
      <c r="B1154" s="14">
        <f>信用曲线—价格!D1153</f>
        <v>2.0586000000000002</v>
      </c>
      <c r="C1154" s="14">
        <f t="shared" ref="C1154:C1159" si="288">AVERAGE(B1095:B1154)</f>
        <v>2.0838833333333335</v>
      </c>
      <c r="D1154" s="14">
        <f t="shared" ref="D1154:D1159" si="289">STDEV(B1095:B1154)</f>
        <v>1.9310743182484887E-2</v>
      </c>
      <c r="E1154" s="14">
        <f t="shared" ref="E1154:E1159" si="290">C1154+2*D1154</f>
        <v>2.1225048196983032</v>
      </c>
      <c r="F1154" s="14">
        <f t="shared" ref="F1154:F1159" si="291">C1154-2*D1154</f>
        <v>2.0452618469683639</v>
      </c>
      <c r="G1154" s="17">
        <f t="shared" ref="G1154:G1159" si="292">IF(AND(E1154&lt;&gt;F1154,NOT(ISBLANK(B1154))),100*(B1154-F1154)/(E1154-F1154),"")</f>
        <v>17.267788331075547</v>
      </c>
      <c r="H1154" s="17">
        <f>信用曲线—价格!H1153</f>
        <v>40.220000000000013</v>
      </c>
      <c r="I1154" s="17">
        <f t="shared" ref="I1154:I1159" si="293">AVERAGE(H1095:H1154)</f>
        <v>40.093666666666671</v>
      </c>
      <c r="J1154" s="17">
        <f t="shared" ref="J1154:J1159" si="294">STDEV(H1095:H1154)</f>
        <v>1.6646931479513503</v>
      </c>
      <c r="K1154" s="17">
        <f t="shared" ref="K1154:K1159" si="295">I1154+2*J1154</f>
        <v>43.423052962569372</v>
      </c>
      <c r="L1154" s="17">
        <f t="shared" ref="L1154:L1159" si="296">I1154-2*J1154</f>
        <v>36.76428037076397</v>
      </c>
      <c r="M1154" s="17">
        <f t="shared" ref="M1154:M1159" si="297">IF(AND(K1154&lt;&gt;L1154,NOT(ISBLANK(H1154))),100*(H1154-L1154)/(K1154-L1154),"")</f>
        <v>51.897246550945646</v>
      </c>
      <c r="N1154" s="17">
        <f t="shared" ref="N1154:N1159" si="298">IF(AND(NOT(ISBLANK(G1154)),NOT(ISBLANK(M1154))),(G1154+M1154)/2,"")</f>
        <v>34.582517441010594</v>
      </c>
      <c r="O1154" s="18">
        <f>IFERROR(_xlfn.PERCENTRANK.EXC(INDEX(B:B, MAX(4, ROW()-251)):INDEX(B:B, ROW()), B1154), "")</f>
        <v>1.9E-2</v>
      </c>
      <c r="P1154" s="18">
        <f>IFERROR(_xlfn.PERCENTRANK.EXC(INDEX(H:H, MAX(4, ROW()-251)):INDEX(H:H, ROW()), H1154), "")</f>
        <v>0.41799999999999998</v>
      </c>
      <c r="Q1154">
        <f t="shared" ref="Q1154:Q1159" si="299">AVERAGE(O1154:P1154)</f>
        <v>0.2185</v>
      </c>
      <c r="R1154" s="1" t="str">
        <f t="shared" ref="R1154:R1159" si="300">IF(Q1154="", "", IF(Q1154&gt;=0.55, "便宜", IF(Q1154&gt;=0.15, "中性", "贵")))</f>
        <v>中性</v>
      </c>
    </row>
    <row r="1155" spans="1:18">
      <c r="A1155" s="3">
        <f>信用曲线—价格!A1154</f>
        <v>46248</v>
      </c>
      <c r="B1155" s="14">
        <f>信用曲线—价格!D1154</f>
        <v>2.0497999999999998</v>
      </c>
      <c r="C1155" s="14">
        <f t="shared" si="288"/>
        <v>2.0828450000000003</v>
      </c>
      <c r="D1155" s="14">
        <f t="shared" si="289"/>
        <v>1.9442304259404391E-2</v>
      </c>
      <c r="E1155" s="14">
        <f t="shared" si="290"/>
        <v>2.1217296085188089</v>
      </c>
      <c r="F1155" s="14">
        <f t="shared" si="291"/>
        <v>2.0439603914811917</v>
      </c>
      <c r="G1155" s="17">
        <f t="shared" si="292"/>
        <v>7.508894574550653</v>
      </c>
      <c r="H1155" s="17">
        <f>信用曲线—价格!H1154</f>
        <v>39.489999999999981</v>
      </c>
      <c r="I1155" s="17">
        <f t="shared" si="293"/>
        <v>40.123666666666665</v>
      </c>
      <c r="J1155" s="17">
        <f t="shared" si="294"/>
        <v>1.6366242299491094</v>
      </c>
      <c r="K1155" s="17">
        <f t="shared" si="295"/>
        <v>43.396915126564885</v>
      </c>
      <c r="L1155" s="17">
        <f t="shared" si="296"/>
        <v>36.850418206768445</v>
      </c>
      <c r="M1155" s="17">
        <f t="shared" si="297"/>
        <v>40.320522954032221</v>
      </c>
      <c r="N1155" s="17">
        <f t="shared" si="298"/>
        <v>23.914708764291436</v>
      </c>
      <c r="O1155" s="18">
        <f>IFERROR(_xlfn.PERCENTRANK.EXC(INDEX(B:B, MAX(4, ROW()-251)):INDEX(B:B, ROW()), B1155), "")</f>
        <v>3.0000000000000001E-3</v>
      </c>
      <c r="P1155" s="18">
        <f>IFERROR(_xlfn.PERCENTRANK.EXC(INDEX(H:H, MAX(4, ROW()-251)):INDEX(H:H, ROW()), H1155), "")</f>
        <v>0.30399999999999999</v>
      </c>
      <c r="Q1155">
        <f t="shared" si="299"/>
        <v>0.1535</v>
      </c>
      <c r="R1155" s="1" t="str">
        <f t="shared" si="300"/>
        <v>中性</v>
      </c>
    </row>
    <row r="1156" spans="1:18">
      <c r="A1156" s="3">
        <f>信用曲线—价格!A1155</f>
        <v>46251</v>
      </c>
      <c r="B1156" s="14">
        <f>信用曲线—价格!D1155</f>
        <v>2.0440999999999998</v>
      </c>
      <c r="C1156" s="14">
        <f t="shared" si="288"/>
        <v>2.0818083333333335</v>
      </c>
      <c r="D1156" s="14">
        <f t="shared" si="289"/>
        <v>1.9824973906552325E-2</v>
      </c>
      <c r="E1156" s="14">
        <f t="shared" si="290"/>
        <v>2.1214582811464382</v>
      </c>
      <c r="F1156" s="14">
        <f t="shared" si="291"/>
        <v>2.0421583855202288</v>
      </c>
      <c r="G1156" s="17">
        <f t="shared" si="292"/>
        <v>2.4484451895410984</v>
      </c>
      <c r="H1156" s="17">
        <f>信用曲线—价格!H1155</f>
        <v>40.419999999999987</v>
      </c>
      <c r="I1156" s="17">
        <f t="shared" si="293"/>
        <v>40.185500000000005</v>
      </c>
      <c r="J1156" s="17">
        <f t="shared" si="294"/>
        <v>1.5743660817364085</v>
      </c>
      <c r="K1156" s="17">
        <f t="shared" si="295"/>
        <v>43.334232163472819</v>
      </c>
      <c r="L1156" s="17">
        <f t="shared" si="296"/>
        <v>37.03676783652719</v>
      </c>
      <c r="M1156" s="17">
        <f t="shared" si="297"/>
        <v>53.723720974434151</v>
      </c>
      <c r="N1156" s="17">
        <f t="shared" si="298"/>
        <v>28.086083081987624</v>
      </c>
      <c r="O1156" s="18">
        <f>IFERROR(_xlfn.PERCENTRANK.EXC(INDEX(B:B, MAX(4, ROW()-251)):INDEX(B:B, ROW()), B1156), "")</f>
        <v>3.0000000000000001E-3</v>
      </c>
      <c r="P1156" s="18">
        <f>IFERROR(_xlfn.PERCENTRANK.EXC(INDEX(H:H, MAX(4, ROW()-251)):INDEX(H:H, ROW()), H1156), "")</f>
        <v>0.43</v>
      </c>
      <c r="Q1156">
        <f t="shared" si="299"/>
        <v>0.2165</v>
      </c>
      <c r="R1156" s="1" t="str">
        <f t="shared" si="300"/>
        <v>中性</v>
      </c>
    </row>
    <row r="1157" spans="1:18">
      <c r="A1157" s="3">
        <f>信用曲线—价格!A1156</f>
        <v>46252</v>
      </c>
      <c r="B1157" s="14">
        <f>信用曲线—价格!D1156</f>
        <v>2.0266999999999999</v>
      </c>
      <c r="C1157" s="14">
        <f t="shared" si="288"/>
        <v>2.0805600000000006</v>
      </c>
      <c r="D1157" s="14">
        <f t="shared" si="289"/>
        <v>2.0887294004907814E-2</v>
      </c>
      <c r="E1157" s="14">
        <f t="shared" si="290"/>
        <v>2.1223345880098163</v>
      </c>
      <c r="F1157" s="14">
        <f t="shared" si="291"/>
        <v>2.0387854119901849</v>
      </c>
      <c r="G1157" s="17">
        <f t="shared" si="292"/>
        <v>-14.465028341327137</v>
      </c>
      <c r="H1157" s="17">
        <f>信用曲线—价格!H1156</f>
        <v>39.300000000000004</v>
      </c>
      <c r="I1157" s="17">
        <f t="shared" si="293"/>
        <v>40.224333333333334</v>
      </c>
      <c r="J1157" s="17">
        <f t="shared" si="294"/>
        <v>1.5215584858915927</v>
      </c>
      <c r="K1157" s="17">
        <f t="shared" si="295"/>
        <v>43.267450305116519</v>
      </c>
      <c r="L1157" s="17">
        <f t="shared" si="296"/>
        <v>37.181216361550149</v>
      </c>
      <c r="M1157" s="17">
        <f t="shared" si="297"/>
        <v>34.812720938694397</v>
      </c>
      <c r="N1157" s="17">
        <f t="shared" si="298"/>
        <v>10.17384629868363</v>
      </c>
      <c r="O1157" s="18">
        <f>IFERROR(_xlfn.PERCENTRANK.EXC(INDEX(B:B, MAX(4, ROW()-251)):INDEX(B:B, ROW()), B1157), "")</f>
        <v>3.0000000000000001E-3</v>
      </c>
      <c r="P1157" s="18">
        <f>IFERROR(_xlfn.PERCENTRANK.EXC(INDEX(H:H, MAX(4, ROW()-251)):INDEX(H:H, ROW()), H1157), "")</f>
        <v>0.28000000000000003</v>
      </c>
      <c r="Q1157">
        <f t="shared" si="299"/>
        <v>0.14150000000000001</v>
      </c>
      <c r="R1157" s="1" t="str">
        <f t="shared" si="300"/>
        <v>贵</v>
      </c>
    </row>
    <row r="1158" spans="1:18">
      <c r="A1158" s="3">
        <f>信用曲线—价格!A1157</f>
        <v>46253</v>
      </c>
      <c r="B1158" s="14">
        <f>信用曲线—价格!D1157</f>
        <v>2.0194999999999999</v>
      </c>
      <c r="C1158" s="14">
        <f t="shared" si="288"/>
        <v>2.0792583333333337</v>
      </c>
      <c r="D1158" s="14">
        <f t="shared" si="289"/>
        <v>2.2199696834597167E-2</v>
      </c>
      <c r="E1158" s="14">
        <f t="shared" si="290"/>
        <v>2.1236577270025281</v>
      </c>
      <c r="F1158" s="14">
        <f t="shared" si="291"/>
        <v>2.0348589396641392</v>
      </c>
      <c r="G1158" s="17">
        <f t="shared" si="292"/>
        <v>-17.296339425909594</v>
      </c>
      <c r="H1158" s="17">
        <f>信用曲线—价格!H1157</f>
        <v>37.579999999999991</v>
      </c>
      <c r="I1158" s="17">
        <f t="shared" si="293"/>
        <v>40.20333333333334</v>
      </c>
      <c r="J1158" s="17">
        <f t="shared" si="294"/>
        <v>1.5494281795603937</v>
      </c>
      <c r="K1158" s="17">
        <f t="shared" si="295"/>
        <v>43.302189692454128</v>
      </c>
      <c r="L1158" s="17">
        <f t="shared" si="296"/>
        <v>37.104476974212552</v>
      </c>
      <c r="M1158" s="17">
        <f t="shared" si="297"/>
        <v>7.6725567544917581</v>
      </c>
      <c r="N1158" s="17">
        <f t="shared" si="298"/>
        <v>-4.8118913357089177</v>
      </c>
      <c r="O1158" s="18">
        <f>IFERROR(_xlfn.PERCENTRANK.EXC(INDEX(B:B, MAX(4, ROW()-251)):INDEX(B:B, ROW()), B1158), "")</f>
        <v>3.0000000000000001E-3</v>
      </c>
      <c r="P1158" s="18">
        <f>IFERROR(_xlfn.PERCENTRANK.EXC(INDEX(H:H, MAX(4, ROW()-251)):INDEX(H:H, ROW()), H1158), "")</f>
        <v>0.114</v>
      </c>
      <c r="Q1158">
        <f t="shared" si="299"/>
        <v>5.8500000000000003E-2</v>
      </c>
      <c r="R1158" s="1" t="str">
        <f t="shared" si="300"/>
        <v>贵</v>
      </c>
    </row>
    <row r="1159" spans="1:18">
      <c r="A1159" s="3">
        <f>信用曲线—价格!A1158</f>
        <v>46254</v>
      </c>
      <c r="B1159" s="14">
        <f>信用曲线—价格!D1158</f>
        <v>2.0243000000000002</v>
      </c>
      <c r="C1159" s="14">
        <f t="shared" si="288"/>
        <v>2.0780916666666669</v>
      </c>
      <c r="D1159" s="14">
        <f t="shared" si="289"/>
        <v>2.321208986324173E-2</v>
      </c>
      <c r="E1159" s="14">
        <f t="shared" si="290"/>
        <v>2.1245158463931504</v>
      </c>
      <c r="F1159" s="14">
        <f t="shared" si="291"/>
        <v>2.0316674869401834</v>
      </c>
      <c r="G1159" s="17">
        <f t="shared" si="292"/>
        <v>-7.9349672773865665</v>
      </c>
      <c r="H1159" s="17">
        <f>信用曲线—价格!H1158</f>
        <v>37.560000000000016</v>
      </c>
      <c r="I1159" s="17">
        <f t="shared" si="293"/>
        <v>40.158333333333331</v>
      </c>
      <c r="J1159" s="17">
        <f t="shared" si="294"/>
        <v>1.5865185920555325</v>
      </c>
      <c r="K1159" s="17">
        <f t="shared" si="295"/>
        <v>43.331370517444398</v>
      </c>
      <c r="L1159" s="17">
        <f t="shared" si="296"/>
        <v>36.985296149222265</v>
      </c>
      <c r="M1159" s="17">
        <f t="shared" si="297"/>
        <v>9.0560528829534714</v>
      </c>
      <c r="N1159" s="17">
        <f t="shared" si="298"/>
        <v>0.56054280278345248</v>
      </c>
      <c r="O1159" s="18">
        <f>IFERROR(_xlfn.PERCENTRANK.EXC(INDEX(B:B, MAX(4, ROW()-251)):INDEX(B:B, ROW()), B1159), "")</f>
        <v>7.0000000000000001E-3</v>
      </c>
      <c r="P1159" s="18">
        <f>IFERROR(_xlfn.PERCENTRANK.EXC(INDEX(H:H, MAX(4, ROW()-251)):INDEX(H:H, ROW()), H1159), "")</f>
        <v>0.11</v>
      </c>
      <c r="Q1159">
        <f t="shared" si="299"/>
        <v>5.8500000000000003E-2</v>
      </c>
      <c r="R1159" s="1" t="str">
        <f t="shared" si="300"/>
        <v>贵</v>
      </c>
    </row>
    <row r="1160" spans="1:18">
      <c r="A1160" s="3">
        <f>信用曲线—价格!A1159</f>
        <v>46255</v>
      </c>
      <c r="B1160" s="14">
        <f>信用曲线—价格!D1159</f>
        <v>2.0318000000000001</v>
      </c>
      <c r="C1160" s="14">
        <f t="shared" ref="C1160:C1168" si="301">AVERAGE(B1101:B1160)</f>
        <v>2.0772166666666667</v>
      </c>
      <c r="D1160" s="14">
        <f t="shared" ref="D1160:D1168" si="302">STDEV(B1101:B1160)</f>
        <v>2.3951824293895654E-2</v>
      </c>
      <c r="E1160" s="14">
        <f t="shared" ref="E1160:E1168" si="303">C1160+2*D1160</f>
        <v>2.125120315254458</v>
      </c>
      <c r="F1160" s="14">
        <f t="shared" ref="F1160:F1168" si="304">C1160-2*D1160</f>
        <v>2.0293130180788754</v>
      </c>
      <c r="G1160" s="17">
        <f t="shared" ref="G1160:G1168" si="305">IF(AND(E1160&lt;&gt;F1160,NOT(ISBLANK(B1160))),100*(B1160-F1160)/(E1160-F1160),"")</f>
        <v>2.5958168056518893</v>
      </c>
      <c r="H1160" s="17">
        <f>信用曲线—价格!H1159</f>
        <v>38.06</v>
      </c>
      <c r="I1160" s="17">
        <f t="shared" ref="I1160:I1168" si="306">AVERAGE(H1101:H1160)</f>
        <v>40.127833333333328</v>
      </c>
      <c r="J1160" s="17">
        <f t="shared" ref="J1160:J1168" si="307">STDEV(H1101:H1160)</f>
        <v>1.6091929671887493</v>
      </c>
      <c r="K1160" s="17">
        <f t="shared" ref="K1160:K1168" si="308">I1160+2*J1160</f>
        <v>43.346219267710829</v>
      </c>
      <c r="L1160" s="17">
        <f t="shared" ref="L1160:L1168" si="309">I1160-2*J1160</f>
        <v>36.909447398955827</v>
      </c>
      <c r="M1160" s="17">
        <f t="shared" ref="M1160:M1168" si="310">IF(AND(K1160&lt;&gt;L1160,NOT(ISBLANK(H1160))),100*(H1160-L1160)/(K1160-L1160),"")</f>
        <v>17.874683529318787</v>
      </c>
      <c r="N1160" s="17">
        <f t="shared" ref="N1160:N1168" si="311">IF(AND(NOT(ISBLANK(G1160)),NOT(ISBLANK(M1160))),(G1160+M1160)/2,"")</f>
        <v>10.235250167485338</v>
      </c>
      <c r="O1160" s="18">
        <f>IFERROR(_xlfn.PERCENTRANK.EXC(INDEX(B:B, MAX(4, ROW()-251)):INDEX(B:B, ROW()), B1160), "")</f>
        <v>1.4999999999999999E-2</v>
      </c>
      <c r="P1160" s="18">
        <f>IFERROR(_xlfn.PERCENTRANK.EXC(INDEX(H:H, MAX(4, ROW()-251)):INDEX(H:H, ROW()), H1160), "")</f>
        <v>0.15</v>
      </c>
      <c r="Q1160">
        <f t="shared" ref="Q1160:Q1168" si="312">AVERAGE(O1160:P1160)</f>
        <v>8.249999999999999E-2</v>
      </c>
      <c r="R1160" s="1" t="str">
        <f t="shared" ref="R1160:R1168" si="313">IF(Q1160="", "", IF(Q1160&gt;=0.55, "便宜", IF(Q1160&gt;=0.15, "中性", "贵")))</f>
        <v>贵</v>
      </c>
    </row>
    <row r="1161" spans="1:18">
      <c r="A1161" s="3">
        <f>信用曲线—价格!A1160</f>
        <v>46258</v>
      </c>
      <c r="B1161" s="14">
        <f>信用曲线—价格!D1160</f>
        <v>2.0156999999999998</v>
      </c>
      <c r="C1161" s="14">
        <f t="shared" si="301"/>
        <v>2.07606</v>
      </c>
      <c r="D1161" s="14">
        <f t="shared" si="302"/>
        <v>2.520747266121898E-2</v>
      </c>
      <c r="E1161" s="14">
        <f t="shared" si="303"/>
        <v>2.1264749453224381</v>
      </c>
      <c r="F1161" s="14">
        <f t="shared" si="304"/>
        <v>2.025645054677562</v>
      </c>
      <c r="G1161" s="17">
        <f t="shared" si="305"/>
        <v>-9.8632008960405475</v>
      </c>
      <c r="H1161" s="17">
        <f>信用曲线—价格!H1160</f>
        <v>36.949999999999974</v>
      </c>
      <c r="I1161" s="17">
        <f t="shared" si="306"/>
        <v>40.077499999999993</v>
      </c>
      <c r="J1161" s="17">
        <f t="shared" si="307"/>
        <v>1.6606223307614973</v>
      </c>
      <c r="K1161" s="17">
        <f t="shared" si="308"/>
        <v>43.39874466152299</v>
      </c>
      <c r="L1161" s="17">
        <f t="shared" si="309"/>
        <v>36.756255338476997</v>
      </c>
      <c r="M1161" s="17">
        <f t="shared" si="310"/>
        <v>2.9167478049348747</v>
      </c>
      <c r="N1161" s="17">
        <f t="shared" si="311"/>
        <v>-3.4732265455528362</v>
      </c>
      <c r="O1161" s="18">
        <f>IFERROR(_xlfn.PERCENTRANK.EXC(INDEX(B:B, MAX(4, ROW()-251)):INDEX(B:B, ROW()), B1161), "")</f>
        <v>3.0000000000000001E-3</v>
      </c>
      <c r="P1161" s="18">
        <f>IFERROR(_xlfn.PERCENTRANK.EXC(INDEX(H:H, MAX(4, ROW()-251)):INDEX(H:H, ROW()), H1161), "")</f>
        <v>6.7000000000000004E-2</v>
      </c>
      <c r="Q1161">
        <f t="shared" si="312"/>
        <v>3.5000000000000003E-2</v>
      </c>
      <c r="R1161" s="1" t="str">
        <f t="shared" si="313"/>
        <v>贵</v>
      </c>
    </row>
    <row r="1162" spans="1:18">
      <c r="A1162" s="3">
        <f>信用曲线—价格!A1161</f>
        <v>46259</v>
      </c>
      <c r="B1162" s="14">
        <f>信用曲线—价格!D1161</f>
        <v>2.0028999999999999</v>
      </c>
      <c r="C1162" s="14">
        <f t="shared" si="301"/>
        <v>2.0748633333333335</v>
      </c>
      <c r="D1162" s="14">
        <f t="shared" si="302"/>
        <v>2.6919276482247522E-2</v>
      </c>
      <c r="E1162" s="14">
        <f t="shared" si="303"/>
        <v>2.1287018862978284</v>
      </c>
      <c r="F1162" s="14">
        <f t="shared" si="304"/>
        <v>2.0210247803688386</v>
      </c>
      <c r="G1162" s="17">
        <f t="shared" si="305"/>
        <v>-16.832529266519753</v>
      </c>
      <c r="H1162" s="17">
        <f>信用曲线—价格!H1161</f>
        <v>35.169999999999987</v>
      </c>
      <c r="I1162" s="17">
        <f t="shared" si="306"/>
        <v>39.998999999999995</v>
      </c>
      <c r="J1162" s="17">
        <f t="shared" si="307"/>
        <v>1.7773391843627391</v>
      </c>
      <c r="K1162" s="17">
        <f t="shared" si="308"/>
        <v>43.553678368725471</v>
      </c>
      <c r="L1162" s="17">
        <f t="shared" si="309"/>
        <v>36.444321631274519</v>
      </c>
      <c r="M1162" s="17">
        <f t="shared" si="310"/>
        <v>-17.924570088902836</v>
      </c>
      <c r="N1162" s="17">
        <f t="shared" si="311"/>
        <v>-17.378549677711295</v>
      </c>
      <c r="O1162" s="18">
        <f>IFERROR(_xlfn.PERCENTRANK.EXC(INDEX(B:B, MAX(4, ROW()-251)):INDEX(B:B, ROW()), B1162), "")</f>
        <v>3.0000000000000001E-3</v>
      </c>
      <c r="P1162" s="18">
        <f>IFERROR(_xlfn.PERCENTRANK.EXC(INDEX(H:H, MAX(4, ROW()-251)):INDEX(H:H, ROW()), H1162), "")</f>
        <v>1.0999999999999999E-2</v>
      </c>
      <c r="Q1162">
        <f t="shared" si="312"/>
        <v>6.9999999999999993E-3</v>
      </c>
      <c r="R1162" s="1" t="str">
        <f t="shared" si="313"/>
        <v>贵</v>
      </c>
    </row>
    <row r="1163" spans="1:18">
      <c r="A1163" s="3">
        <f>信用曲线—价格!A1162</f>
        <v>46260</v>
      </c>
      <c r="B1163" s="14">
        <f>信用曲线—价格!D1162</f>
        <v>2.0015999999999998</v>
      </c>
      <c r="C1163" s="14">
        <f t="shared" si="301"/>
        <v>2.073655</v>
      </c>
      <c r="D1163" s="14">
        <f t="shared" si="302"/>
        <v>2.8532921366290494E-2</v>
      </c>
      <c r="E1163" s="14">
        <f t="shared" si="303"/>
        <v>2.1307208427325812</v>
      </c>
      <c r="F1163" s="14">
        <f t="shared" si="304"/>
        <v>2.0165891572674188</v>
      </c>
      <c r="G1163" s="17">
        <f t="shared" si="305"/>
        <v>-13.133212925339917</v>
      </c>
      <c r="H1163" s="17">
        <f>信用曲线—价格!H1162</f>
        <v>34.059999999999981</v>
      </c>
      <c r="I1163" s="17">
        <f t="shared" si="306"/>
        <v>39.905499999999989</v>
      </c>
      <c r="J1163" s="17">
        <f t="shared" si="307"/>
        <v>1.9354677313205391</v>
      </c>
      <c r="K1163" s="17">
        <f t="shared" si="308"/>
        <v>43.776435462641068</v>
      </c>
      <c r="L1163" s="17">
        <f t="shared" si="309"/>
        <v>36.034564537358911</v>
      </c>
      <c r="M1163" s="17">
        <f t="shared" si="310"/>
        <v>-25.505004622470707</v>
      </c>
      <c r="N1163" s="17">
        <f t="shared" si="311"/>
        <v>-19.319108773905313</v>
      </c>
      <c r="O1163" s="18">
        <f>IFERROR(_xlfn.PERCENTRANK.EXC(INDEX(B:B, MAX(4, ROW()-251)):INDEX(B:B, ROW()), B1163), "")</f>
        <v>3.0000000000000001E-3</v>
      </c>
      <c r="P1163" s="18">
        <f>IFERROR(_xlfn.PERCENTRANK.EXC(INDEX(H:H, MAX(4, ROW()-251)):INDEX(H:H, ROW()), H1163), "")</f>
        <v>3.0000000000000001E-3</v>
      </c>
      <c r="Q1163">
        <f t="shared" si="312"/>
        <v>3.0000000000000001E-3</v>
      </c>
      <c r="R1163" s="1" t="str">
        <f t="shared" si="313"/>
        <v>贵</v>
      </c>
    </row>
    <row r="1164" spans="1:18">
      <c r="A1164" s="3">
        <f>信用曲线—价格!A1163</f>
        <v>46261</v>
      </c>
      <c r="B1164" s="14">
        <f>信用曲线—价格!D1163</f>
        <v>2.0003000000000002</v>
      </c>
      <c r="C1164" s="14">
        <f t="shared" si="301"/>
        <v>2.0725599999999997</v>
      </c>
      <c r="D1164" s="14">
        <f t="shared" si="302"/>
        <v>3.0051916659595192E-2</v>
      </c>
      <c r="E1164" s="14">
        <f t="shared" si="303"/>
        <v>2.1326638333191901</v>
      </c>
      <c r="F1164" s="14">
        <f t="shared" si="304"/>
        <v>2.0124561666808094</v>
      </c>
      <c r="G1164" s="17">
        <f t="shared" si="305"/>
        <v>-10.112638420458211</v>
      </c>
      <c r="H1164" s="17">
        <f>信用曲线—价格!H1163</f>
        <v>32.300000000000018</v>
      </c>
      <c r="I1164" s="17">
        <f t="shared" si="306"/>
        <v>39.808666666666667</v>
      </c>
      <c r="J1164" s="17">
        <f t="shared" si="307"/>
        <v>2.1592265302741085</v>
      </c>
      <c r="K1164" s="17">
        <f t="shared" si="308"/>
        <v>44.127119727214883</v>
      </c>
      <c r="L1164" s="17">
        <f t="shared" si="309"/>
        <v>35.490213606118452</v>
      </c>
      <c r="M1164" s="17">
        <f t="shared" si="310"/>
        <v>-36.93699527804344</v>
      </c>
      <c r="N1164" s="17">
        <f t="shared" si="311"/>
        <v>-23.524816849250826</v>
      </c>
      <c r="O1164" s="18">
        <f>IFERROR(_xlfn.PERCENTRANK.EXC(INDEX(B:B, MAX(4, ROW()-251)):INDEX(B:B, ROW()), B1164), "")</f>
        <v>3.0000000000000001E-3</v>
      </c>
      <c r="P1164" s="18">
        <f>IFERROR(_xlfn.PERCENTRANK.EXC(INDEX(H:H, MAX(4, ROW()-251)):INDEX(H:H, ROW()), H1164), "")</f>
        <v>3.0000000000000001E-3</v>
      </c>
      <c r="Q1164">
        <f t="shared" si="312"/>
        <v>3.0000000000000001E-3</v>
      </c>
      <c r="R1164" s="1" t="str">
        <f t="shared" si="313"/>
        <v>贵</v>
      </c>
    </row>
    <row r="1165" spans="1:18">
      <c r="A1165" s="3">
        <f>信用曲线—价格!A1164</f>
        <v>46262</v>
      </c>
      <c r="B1165" s="14">
        <f>信用曲线—价格!D1164</f>
        <v>2.0093999999999999</v>
      </c>
      <c r="C1165" s="14">
        <f t="shared" si="301"/>
        <v>2.0717949999999998</v>
      </c>
      <c r="D1165" s="14">
        <f t="shared" si="302"/>
        <v>3.106584273355165E-2</v>
      </c>
      <c r="E1165" s="14">
        <f t="shared" si="303"/>
        <v>2.1339266854671033</v>
      </c>
      <c r="F1165" s="14">
        <f t="shared" si="304"/>
        <v>2.0096633145328964</v>
      </c>
      <c r="G1165" s="17">
        <f t="shared" si="305"/>
        <v>-0.21190036204307941</v>
      </c>
      <c r="H1165" s="17">
        <f>信用曲线—价格!H1164</f>
        <v>33.45999999999998</v>
      </c>
      <c r="I1165" s="17">
        <f t="shared" si="306"/>
        <v>39.732333333333337</v>
      </c>
      <c r="J1165" s="17">
        <f t="shared" si="307"/>
        <v>2.299230060271594</v>
      </c>
      <c r="K1165" s="17">
        <f t="shared" si="308"/>
        <v>44.330793453876524</v>
      </c>
      <c r="L1165" s="17">
        <f t="shared" si="309"/>
        <v>35.133873212790149</v>
      </c>
      <c r="M1165" s="17">
        <f t="shared" si="310"/>
        <v>-18.200366741382609</v>
      </c>
      <c r="N1165" s="17">
        <f t="shared" si="311"/>
        <v>-9.2061335517128438</v>
      </c>
      <c r="O1165" s="18">
        <f>IFERROR(_xlfn.PERCENTRANK.EXC(INDEX(B:B, MAX(4, ROW()-251)):INDEX(B:B, ROW()), B1165), "")</f>
        <v>1.4999999999999999E-2</v>
      </c>
      <c r="P1165" s="18">
        <f>IFERROR(_xlfn.PERCENTRANK.EXC(INDEX(H:H, MAX(4, ROW()-251)):INDEX(H:H, ROW()), H1165), "")</f>
        <v>7.0000000000000001E-3</v>
      </c>
      <c r="Q1165">
        <f t="shared" si="312"/>
        <v>1.0999999999999999E-2</v>
      </c>
      <c r="R1165" s="1" t="str">
        <f t="shared" si="313"/>
        <v>贵</v>
      </c>
    </row>
    <row r="1166" spans="1:18">
      <c r="A1166" s="3">
        <f>信用曲线—价格!A1165</f>
        <v>46265</v>
      </c>
      <c r="B1166" s="14">
        <f>信用曲线—价格!D1165</f>
        <v>2.0142000000000002</v>
      </c>
      <c r="C1166" s="14">
        <f t="shared" si="301"/>
        <v>2.0711433333333331</v>
      </c>
      <c r="D1166" s="14">
        <f t="shared" si="302"/>
        <v>3.1860327419485773E-2</v>
      </c>
      <c r="E1166" s="14">
        <f t="shared" si="303"/>
        <v>2.1348639881723046</v>
      </c>
      <c r="F1166" s="14">
        <f t="shared" si="304"/>
        <v>2.0074226784943616</v>
      </c>
      <c r="G1166" s="17">
        <f t="shared" si="305"/>
        <v>5.3179942381050251</v>
      </c>
      <c r="H1166" s="17">
        <f>信用曲线—价格!H1165</f>
        <v>34.170000000000009</v>
      </c>
      <c r="I1166" s="17">
        <f t="shared" si="306"/>
        <v>39.684333333333335</v>
      </c>
      <c r="J1166" s="17">
        <f t="shared" si="307"/>
        <v>2.384652457829608</v>
      </c>
      <c r="K1166" s="17">
        <f t="shared" si="308"/>
        <v>44.453638248992547</v>
      </c>
      <c r="L1166" s="17">
        <f t="shared" si="309"/>
        <v>34.915028417674122</v>
      </c>
      <c r="M1166" s="17">
        <f t="shared" si="310"/>
        <v>-7.8106603671736075</v>
      </c>
      <c r="N1166" s="17">
        <f t="shared" si="311"/>
        <v>-1.2463330645342912</v>
      </c>
      <c r="O1166" s="18">
        <f>IFERROR(_xlfn.PERCENTRANK.EXC(INDEX(B:B, MAX(4, ROW()-251)):INDEX(B:B, ROW()), B1166), "")</f>
        <v>1.9E-2</v>
      </c>
      <c r="P1166" s="18">
        <f>IFERROR(_xlfn.PERCENTRANK.EXC(INDEX(H:H, MAX(4, ROW()-251)):INDEX(H:H, ROW()), H1166), "")</f>
        <v>1.4999999999999999E-2</v>
      </c>
      <c r="Q1166">
        <f t="shared" si="312"/>
        <v>1.7000000000000001E-2</v>
      </c>
      <c r="R1166" s="1" t="str">
        <f t="shared" si="313"/>
        <v>贵</v>
      </c>
    </row>
    <row r="1167" spans="1:18">
      <c r="A1167" s="3">
        <f>信用曲线—价格!A1166</f>
        <v>46266</v>
      </c>
      <c r="B1167" s="14">
        <f>信用曲线—价格!D1166</f>
        <v>2.0095999999999998</v>
      </c>
      <c r="C1167" s="14">
        <f t="shared" si="301"/>
        <v>2.0702616666666667</v>
      </c>
      <c r="D1167" s="14">
        <f t="shared" si="302"/>
        <v>3.2821030317061149E-2</v>
      </c>
      <c r="E1167" s="14">
        <f t="shared" si="303"/>
        <v>2.1359037273007888</v>
      </c>
      <c r="F1167" s="14">
        <f t="shared" si="304"/>
        <v>2.0046196060325445</v>
      </c>
      <c r="G1167" s="17">
        <f t="shared" si="305"/>
        <v>3.7935996519176873</v>
      </c>
      <c r="H1167" s="17">
        <f>信用曲线—价格!H1166</f>
        <v>34.589999999999989</v>
      </c>
      <c r="I1167" s="17">
        <f t="shared" si="306"/>
        <v>39.644666666666673</v>
      </c>
      <c r="J1167" s="17">
        <f t="shared" si="307"/>
        <v>2.4494817623233747</v>
      </c>
      <c r="K1167" s="17">
        <f t="shared" si="308"/>
        <v>44.543630191313426</v>
      </c>
      <c r="L1167" s="17">
        <f t="shared" si="309"/>
        <v>34.74570314201992</v>
      </c>
      <c r="M1167" s="17">
        <f t="shared" si="310"/>
        <v>-1.5891437161818638</v>
      </c>
      <c r="N1167" s="17">
        <f t="shared" si="311"/>
        <v>1.1022279678679117</v>
      </c>
      <c r="O1167" s="18">
        <f>IFERROR(_xlfn.PERCENTRANK.EXC(INDEX(B:B, MAX(4, ROW()-251)):INDEX(B:B, ROW()), B1167), "")</f>
        <v>1.9E-2</v>
      </c>
      <c r="P1167" s="18">
        <f>IFERROR(_xlfn.PERCENTRANK.EXC(INDEX(H:H, MAX(4, ROW()-251)):INDEX(H:H, ROW()), H1167), "")</f>
        <v>2.7E-2</v>
      </c>
      <c r="Q1167">
        <f t="shared" si="312"/>
        <v>2.3E-2</v>
      </c>
      <c r="R1167" s="1" t="str">
        <f t="shared" si="313"/>
        <v>贵</v>
      </c>
    </row>
    <row r="1168" spans="1:18">
      <c r="A1168" s="3">
        <f>信用曲线—价格!A1167</f>
        <v>46267</v>
      </c>
      <c r="B1168" s="14">
        <f>信用曲线—价格!D1167</f>
        <v>2.0093000000000001</v>
      </c>
      <c r="C1168" s="14">
        <f t="shared" si="301"/>
        <v>2.0689416666666665</v>
      </c>
      <c r="D1168" s="14">
        <f t="shared" si="302"/>
        <v>3.365707567418557E-2</v>
      </c>
      <c r="E1168" s="14">
        <f t="shared" si="303"/>
        <v>2.1362558180150377</v>
      </c>
      <c r="F1168" s="14">
        <f t="shared" si="304"/>
        <v>2.0016275153182952</v>
      </c>
      <c r="G1168" s="17">
        <f t="shared" si="305"/>
        <v>5.6990131554934456</v>
      </c>
      <c r="H1168" s="17">
        <f>信用曲线—价格!H1167</f>
        <v>34.310000000000016</v>
      </c>
      <c r="I1168" s="17">
        <f t="shared" si="306"/>
        <v>39.581500000000005</v>
      </c>
      <c r="J1168" s="17">
        <f t="shared" si="307"/>
        <v>2.5372845654560927</v>
      </c>
      <c r="K1168" s="17">
        <f t="shared" si="308"/>
        <v>44.656069130912194</v>
      </c>
      <c r="L1168" s="17">
        <f t="shared" si="309"/>
        <v>34.506930869087817</v>
      </c>
      <c r="M1168" s="17">
        <f t="shared" si="310"/>
        <v>-1.9403703448257215</v>
      </c>
      <c r="N1168" s="17">
        <f t="shared" si="311"/>
        <v>1.879321405333862</v>
      </c>
      <c r="O1168" s="18">
        <f>IFERROR(_xlfn.PERCENTRANK.EXC(INDEX(B:B, MAX(4, ROW()-251)):INDEX(B:B, ROW()), B1168), "")</f>
        <v>1.4999999999999999E-2</v>
      </c>
      <c r="P1168" s="18">
        <f>IFERROR(_xlfn.PERCENTRANK.EXC(INDEX(H:H, MAX(4, ROW()-251)):INDEX(H:H, ROW()), H1168), "")</f>
        <v>1.9E-2</v>
      </c>
      <c r="Q1168">
        <f t="shared" si="312"/>
        <v>1.7000000000000001E-2</v>
      </c>
      <c r="R1168" s="1" t="str">
        <f t="shared" si="313"/>
        <v>贵</v>
      </c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68"/>
  <sheetViews>
    <sheetView tabSelected="1" workbookViewId="0">
      <pane xSplit="1" ySplit="3" topLeftCell="B1149" activePane="bottomRight" state="frozen"/>
      <selection pane="topRight" activeCell="B1" sqref="B1"/>
      <selection pane="bottomLeft" activeCell="A4" sqref="A4"/>
      <selection pane="bottomRight" activeCell="A1167" sqref="A1167:L1168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0.99199999999999999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中性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中性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便宜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便宜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中性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中性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便宜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中性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便宜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便宜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中性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便宜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中性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中性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便宜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便宜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中性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便宜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中性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便宜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中性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便宜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中性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中性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贵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贵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中性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中性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贵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贵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中性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中性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便宜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便宜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中性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中性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便宜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中性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便宜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便宜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中性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中性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便宜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中性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便宜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便宜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中性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中性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便宜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便宜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中性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中性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便宜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中性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便宜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便宜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中性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中性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贵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贵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中性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中性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贵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贵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中性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中性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贵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贵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中性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中性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贵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中性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便宜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便宜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中性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中性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便宜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便宜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中性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中性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便宜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中性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便宜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便宜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中性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中性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贵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贵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中性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中性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贵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贵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中性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中性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贵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中性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贵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贵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中性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中性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贵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贵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中性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中性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4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  <row r="1122" spans="1:12">
      <c r="A1122" s="21">
        <f>RRG趋势计算!A1121</f>
        <v>46203</v>
      </c>
      <c r="B1122" s="1" t="str">
        <f>RRG趋势计算!H1121</f>
        <v>领先</v>
      </c>
      <c r="C1122" s="1" t="str">
        <f>价格指标计算!R1122</f>
        <v>中性</v>
      </c>
      <c r="D1122" s="1" t="str">
        <f>RRG趋势计算!F1121</f>
        <v>上升</v>
      </c>
      <c r="E1122" s="1" t="str">
        <f t="shared" si="59"/>
        <v>持仓</v>
      </c>
      <c r="I1122" s="1">
        <f>价格指标计算!B1122</f>
        <v>2.0945</v>
      </c>
      <c r="J1122" s="1">
        <f>价格指标计算!Q1122</f>
        <v>0.34750000000000003</v>
      </c>
      <c r="K1122" s="1">
        <f>RRG趋势计算!D1121</f>
        <v>0.3569625027201262</v>
      </c>
      <c r="L1122" s="1">
        <f>RRG趋势计算!G1121</f>
        <v>1.6242944142663696E-2</v>
      </c>
    </row>
    <row r="1123" spans="1:12">
      <c r="A1123" s="21">
        <f>RRG趋势计算!A1122</f>
        <v>46204</v>
      </c>
      <c r="B1123" s="1" t="str">
        <f>RRG趋势计算!H1122</f>
        <v>领先</v>
      </c>
      <c r="C1123" s="1" t="str">
        <f>价格指标计算!R1123</f>
        <v>中性</v>
      </c>
      <c r="D1123" s="1" t="str">
        <f>RRG趋势计算!F1122</f>
        <v>上升</v>
      </c>
      <c r="E1123" s="1" t="str">
        <f t="shared" si="59"/>
        <v>持仓</v>
      </c>
      <c r="I1123" s="1">
        <f>价格指标计算!B1123</f>
        <v>2.1</v>
      </c>
      <c r="J1123" s="1">
        <f>价格指标计算!Q1123</f>
        <v>0.308</v>
      </c>
      <c r="K1123" s="1">
        <f>RRG趋势计算!D1122</f>
        <v>0.26310458833349593</v>
      </c>
      <c r="L1123" s="1">
        <f>RRG趋势计算!G1122</f>
        <v>5.2902087582329393E-2</v>
      </c>
    </row>
    <row r="1124" spans="1:12">
      <c r="A1124" s="21">
        <f>RRG趋势计算!A1123</f>
        <v>46205</v>
      </c>
      <c r="B1124" s="1" t="str">
        <f>RRG趋势计算!H1123</f>
        <v>领先</v>
      </c>
      <c r="C1124" s="1" t="str">
        <f>价格指标计算!R1124</f>
        <v>中性</v>
      </c>
      <c r="D1124" s="1" t="str">
        <f>RRG趋势计算!F1123</f>
        <v>上升</v>
      </c>
      <c r="E1124" s="1" t="str">
        <f t="shared" si="59"/>
        <v>持仓</v>
      </c>
      <c r="I1124" s="1">
        <f>价格指标计算!B1124</f>
        <v>2.1011000000000002</v>
      </c>
      <c r="J1124" s="1">
        <f>价格指标计算!Q1124</f>
        <v>0.34949999999999998</v>
      </c>
      <c r="K1124" s="1">
        <f>RRG趋势计算!D1123</f>
        <v>0.26303667232900896</v>
      </c>
      <c r="L1124" s="1">
        <f>RRG趋势计算!G1123</f>
        <v>0.11301283137663543</v>
      </c>
    </row>
    <row r="1125" spans="1:12">
      <c r="A1125" s="21">
        <f>RRG趋势计算!A1124</f>
        <v>46206</v>
      </c>
      <c r="B1125" s="1" t="str">
        <f>RRG趋势计算!H1124</f>
        <v>领先</v>
      </c>
      <c r="C1125" s="1" t="str">
        <f>价格指标计算!R1125</f>
        <v>中性</v>
      </c>
      <c r="D1125" s="1" t="str">
        <f>RRG趋势计算!F1124</f>
        <v>上升</v>
      </c>
      <c r="E1125" s="1" t="str">
        <f t="shared" ref="E1125:E1132" si="60">IF(OR(B1125="",C1125="",D1125=""),"",IF(D1125="上升","持仓",IF(AND(B1125="减弱",C1125="贵"),"空仓",IF(AND(B1125="减弱",C1125="中性"),"空仓",IF(AND(B1125="改善",C1125="贵"),"空仓",IF(B1125="滞后","空仓","持仓"))))))</f>
        <v>持仓</v>
      </c>
      <c r="I1125" s="1">
        <f>价格指标计算!B1125</f>
        <v>2.0966</v>
      </c>
      <c r="J1125" s="1">
        <f>价格指标计算!Q1125</f>
        <v>0.31999999999999995</v>
      </c>
      <c r="K1125" s="1">
        <f>RRG趋势计算!D1124</f>
        <v>0.22662700437994232</v>
      </c>
      <c r="L1125" s="1">
        <f>RRG趋势计算!G1124</f>
        <v>6.1771786603248557E-2</v>
      </c>
    </row>
    <row r="1126" spans="1:12">
      <c r="A1126" s="21">
        <f>RRG趋势计算!A1125</f>
        <v>46209</v>
      </c>
      <c r="B1126" s="1" t="str">
        <f>RRG趋势计算!H1125</f>
        <v>领先</v>
      </c>
      <c r="C1126" s="1" t="str">
        <f>价格指标计算!R1126</f>
        <v>中性</v>
      </c>
      <c r="D1126" s="1" t="str">
        <f>RRG趋势计算!F1125</f>
        <v>上升</v>
      </c>
      <c r="E1126" s="1" t="str">
        <f t="shared" si="60"/>
        <v>持仓</v>
      </c>
      <c r="I1126" s="1">
        <f>价格指标计算!B1126</f>
        <v>2.0914999999999999</v>
      </c>
      <c r="J1126" s="1">
        <f>价格指标计算!Q1126</f>
        <v>0.35550000000000004</v>
      </c>
      <c r="K1126" s="1">
        <f>RRG趋势计算!D1125</f>
        <v>0.25253233027833222</v>
      </c>
      <c r="L1126" s="1">
        <f>RRG趋势计算!G1125</f>
        <v>0.10020762892610779</v>
      </c>
    </row>
    <row r="1127" spans="1:12">
      <c r="A1127" s="21">
        <f>RRG趋势计算!A1126</f>
        <v>46210</v>
      </c>
      <c r="B1127" s="1" t="str">
        <f>RRG趋势计算!H1126</f>
        <v>减弱</v>
      </c>
      <c r="C1127" s="1" t="str">
        <f>价格指标计算!R1127</f>
        <v>中性</v>
      </c>
      <c r="D1127" s="1" t="str">
        <f>RRG趋势计算!F1126</f>
        <v>上升</v>
      </c>
      <c r="E1127" s="1" t="str">
        <f t="shared" si="60"/>
        <v>持仓</v>
      </c>
      <c r="I1127" s="1">
        <f>价格指标计算!B1127</f>
        <v>2.0914000000000001</v>
      </c>
      <c r="J1127" s="1">
        <f>价格指标计算!Q1127</f>
        <v>0.36500000000000005</v>
      </c>
      <c r="K1127" s="1">
        <f>RRG趋势计算!D1126</f>
        <v>0.23781069069344074</v>
      </c>
      <c r="L1127" s="1">
        <f>RRG趋势计算!G1126</f>
        <v>-7.5759948802378574E-3</v>
      </c>
    </row>
    <row r="1128" spans="1:12">
      <c r="A1128" s="21">
        <f>RRG趋势计算!A1127</f>
        <v>46211</v>
      </c>
      <c r="B1128" s="1" t="str">
        <f>RRG趋势计算!H1127</f>
        <v>减弱</v>
      </c>
      <c r="C1128" s="1" t="str">
        <f>价格指标计算!R1128</f>
        <v>中性</v>
      </c>
      <c r="D1128" s="1" t="str">
        <f>RRG趋势计算!F1127</f>
        <v>上升</v>
      </c>
      <c r="E1128" s="1" t="str">
        <f t="shared" si="60"/>
        <v>持仓</v>
      </c>
      <c r="I1128" s="1">
        <f>价格指标计算!B1128</f>
        <v>2.0813000000000001</v>
      </c>
      <c r="J1128" s="1">
        <f>价格指标计算!Q1128</f>
        <v>0.3175</v>
      </c>
      <c r="K1128" s="1">
        <f>RRG趋势计算!D1127</f>
        <v>0.25999307992501386</v>
      </c>
      <c r="L1128" s="1">
        <f>RRG趋势计算!G1127</f>
        <v>-4.0692248585716406E-2</v>
      </c>
    </row>
    <row r="1129" spans="1:12">
      <c r="A1129" s="21">
        <f>RRG趋势计算!A1128</f>
        <v>46212</v>
      </c>
      <c r="B1129" s="1" t="str">
        <f>RRG趋势计算!H1128</f>
        <v>减弱</v>
      </c>
      <c r="C1129" s="1" t="str">
        <f>价格指标计算!R1129</f>
        <v>中性</v>
      </c>
      <c r="D1129" s="1" t="str">
        <f>RRG趋势计算!F1128</f>
        <v>上升</v>
      </c>
      <c r="E1129" s="1" t="str">
        <f t="shared" si="60"/>
        <v>持仓</v>
      </c>
      <c r="I1129" s="1">
        <f>价格指标计算!B1129</f>
        <v>2.08</v>
      </c>
      <c r="J1129" s="1">
        <f>价格指标计算!Q1129</f>
        <v>0.29000000000000004</v>
      </c>
      <c r="K1129" s="1">
        <f>RRG趋势计算!D1128</f>
        <v>0.24716707972682883</v>
      </c>
      <c r="L1129" s="1">
        <f>RRG趋势计算!G1128</f>
        <v>-5.0617635273142447E-2</v>
      </c>
    </row>
    <row r="1130" spans="1:12">
      <c r="A1130" s="21">
        <f>RRG趋势计算!A1129</f>
        <v>46213</v>
      </c>
      <c r="B1130" s="1" t="str">
        <f>RRG趋势计算!H1129</f>
        <v>减弱</v>
      </c>
      <c r="C1130" s="1" t="str">
        <f>价格指标计算!R1130</f>
        <v>中性</v>
      </c>
      <c r="D1130" s="1" t="str">
        <f>RRG趋势计算!F1129</f>
        <v>上升</v>
      </c>
      <c r="E1130" s="1" t="str">
        <f t="shared" si="60"/>
        <v>持仓</v>
      </c>
      <c r="I1130" s="1">
        <f>价格指标计算!B1130</f>
        <v>2.0737999999999999</v>
      </c>
      <c r="J1130" s="1">
        <f>价格指标计算!Q1130</f>
        <v>0.24250000000000002</v>
      </c>
      <c r="K1130" s="1">
        <f>RRG趋势计算!D1129</f>
        <v>0.23578993764059586</v>
      </c>
      <c r="L1130" s="1">
        <f>RRG趋势计算!G1129</f>
        <v>-6.6164828281434218E-2</v>
      </c>
    </row>
    <row r="1131" spans="1:12">
      <c r="A1131" s="21">
        <f>RRG趋势计算!A1130</f>
        <v>46216</v>
      </c>
      <c r="B1131" s="1" t="str">
        <f>RRG趋势计算!H1130</f>
        <v>减弱</v>
      </c>
      <c r="C1131" s="1" t="str">
        <f>价格指标计算!R1131</f>
        <v>中性</v>
      </c>
      <c r="D1131" s="1" t="str">
        <f>RRG趋势计算!F1130</f>
        <v>上升</v>
      </c>
      <c r="E1131" s="1" t="str">
        <f t="shared" si="60"/>
        <v>持仓</v>
      </c>
      <c r="I1131" s="1">
        <f>价格指标计算!B1131</f>
        <v>2.0663999999999998</v>
      </c>
      <c r="J1131" s="1">
        <f>价格指标计算!Q1131</f>
        <v>0.191</v>
      </c>
      <c r="K1131" s="1">
        <f>RRG趋势计算!D1130</f>
        <v>0.25792008219278628</v>
      </c>
      <c r="L1131" s="1">
        <f>RRG趋势计算!G1130</f>
        <v>-2.8145805850643413E-2</v>
      </c>
    </row>
    <row r="1132" spans="1:12">
      <c r="A1132" s="21">
        <f>RRG趋势计算!A1131</f>
        <v>46217</v>
      </c>
      <c r="B1132" s="1" t="str">
        <f>RRG趋势计算!H1131</f>
        <v>减弱</v>
      </c>
      <c r="C1132" s="1" t="str">
        <f>价格指标计算!R1132</f>
        <v>中性</v>
      </c>
      <c r="D1132" s="1" t="str">
        <f>RRG趋势计算!F1131</f>
        <v>上升</v>
      </c>
      <c r="E1132" s="1" t="str">
        <f t="shared" si="60"/>
        <v>持仓</v>
      </c>
      <c r="I1132" s="1">
        <f>价格指标计算!B1132</f>
        <v>2.0647000000000002</v>
      </c>
      <c r="J1132" s="1">
        <f>价格指标计算!Q1132</f>
        <v>0.17700000000000002</v>
      </c>
      <c r="K1132" s="1">
        <f>RRG趋势计算!D1131</f>
        <v>0.21153953535928416</v>
      </c>
      <c r="L1132" s="1">
        <f>RRG趋势计算!G1131</f>
        <v>-9.9804204035303101E-2</v>
      </c>
    </row>
    <row r="1133" spans="1:12">
      <c r="A1133" s="21">
        <f>RRG趋势计算!A1132</f>
        <v>46218</v>
      </c>
      <c r="B1133" s="1" t="str">
        <f>RRG趋势计算!H1132</f>
        <v>减弱</v>
      </c>
      <c r="C1133" s="1" t="str">
        <f>价格指标计算!R1133</f>
        <v>中性</v>
      </c>
      <c r="D1133" s="1" t="str">
        <f>RRG趋势计算!F1132</f>
        <v>上升</v>
      </c>
      <c r="E1133" s="1" t="str">
        <f t="shared" ref="E1133:E1135" si="61">IF(OR(B1133="",C1133="",D1133=""),"",IF(D1133="上升","持仓",IF(AND(B1133="减弱",C1133="贵"),"空仓",IF(AND(B1133="减弱",C1133="中性"),"空仓",IF(AND(B1133="改善",C1133="贵"),"空仓",IF(B1133="滞后","空仓","持仓"))))))</f>
        <v>持仓</v>
      </c>
      <c r="I1133" s="1">
        <f>价格指标计算!B1133</f>
        <v>2.0644</v>
      </c>
      <c r="J1133" s="1">
        <f>价格指标计算!Q1133</f>
        <v>0.20100000000000001</v>
      </c>
      <c r="K1133" s="1">
        <f>RRG趋势计算!D1132</f>
        <v>0.24200088497126071</v>
      </c>
      <c r="L1133" s="1">
        <f>RRG趋势计算!G1132</f>
        <v>-8.8678818137122306E-2</v>
      </c>
    </row>
    <row r="1134" spans="1:12">
      <c r="A1134" s="21">
        <f>RRG趋势计算!A1133</f>
        <v>46219</v>
      </c>
      <c r="B1134" s="1" t="str">
        <f>RRG趋势计算!H1133</f>
        <v>减弱</v>
      </c>
      <c r="C1134" s="1" t="str">
        <f>价格指标计算!R1134</f>
        <v>中性</v>
      </c>
      <c r="D1134" s="1" t="str">
        <f>RRG趋势计算!F1133</f>
        <v>上升</v>
      </c>
      <c r="E1134" s="1" t="str">
        <f t="shared" si="61"/>
        <v>持仓</v>
      </c>
      <c r="I1134" s="1">
        <f>价格指标计算!B1134</f>
        <v>2.0688</v>
      </c>
      <c r="J1134" s="1">
        <f>价格指标计算!Q1134</f>
        <v>0.21700000000000003</v>
      </c>
      <c r="K1134" s="1">
        <f>RRG趋势计算!D1133</f>
        <v>0.22505402992123447</v>
      </c>
      <c r="L1134" s="1">
        <f>RRG趋势计算!G1133</f>
        <v>-0.14186624144476578</v>
      </c>
    </row>
    <row r="1135" spans="1:12">
      <c r="A1135" s="21">
        <f>RRG趋势计算!A1134</f>
        <v>46220</v>
      </c>
      <c r="B1135" s="1" t="str">
        <f>RRG趋势计算!H1134</f>
        <v>减弱</v>
      </c>
      <c r="C1135" s="1" t="str">
        <f>价格指标计算!R1135</f>
        <v>中性</v>
      </c>
      <c r="D1135" s="1" t="str">
        <f>RRG趋势计算!F1134</f>
        <v>上升</v>
      </c>
      <c r="E1135" s="1" t="str">
        <f t="shared" si="61"/>
        <v>持仓</v>
      </c>
      <c r="I1135" s="1">
        <f>价格指标计算!B1135</f>
        <v>2.0705</v>
      </c>
      <c r="J1135" s="1">
        <f>价格指标计算!Q1135</f>
        <v>0.2485</v>
      </c>
      <c r="K1135" s="1">
        <f>RRG趋势计算!D1134</f>
        <v>0.23677333614595675</v>
      </c>
      <c r="L1135" s="1">
        <f>RRG趋势计算!G1134</f>
        <v>-0.12018916657416945</v>
      </c>
    </row>
    <row r="1136" spans="1:12">
      <c r="A1136" s="21">
        <f>RRG趋势计算!A1135</f>
        <v>46223</v>
      </c>
      <c r="B1136" s="1" t="str">
        <f>RRG趋势计算!H1135</f>
        <v>减弱</v>
      </c>
      <c r="C1136" s="1" t="str">
        <f>价格指标计算!R1136</f>
        <v>中性</v>
      </c>
      <c r="D1136" s="1" t="str">
        <f>RRG趋势计算!F1135</f>
        <v>上升</v>
      </c>
      <c r="E1136" s="1" t="str">
        <f t="shared" ref="E1136:E1138" si="62">IF(OR(B1136="",C1136="",D1136=""),"",IF(D1136="上升","持仓",IF(AND(B1136="减弱",C1136="贵"),"空仓",IF(AND(B1136="减弱",C1136="中性"),"空仓",IF(AND(B1136="改善",C1136="贵"),"空仓",IF(B1136="滞后","空仓","持仓"))))))</f>
        <v>持仓</v>
      </c>
      <c r="I1136" s="1">
        <f>价格指标计算!B1136</f>
        <v>2.0729000000000002</v>
      </c>
      <c r="J1136" s="1">
        <f>价格指标计算!Q1136</f>
        <v>0.2445</v>
      </c>
      <c r="K1136" s="1">
        <f>RRG趋势计算!D1135</f>
        <v>0.21328490110874565</v>
      </c>
      <c r="L1136" s="1">
        <f>RRG趋势计算!G1135</f>
        <v>-4.9819687224750275E-2</v>
      </c>
    </row>
    <row r="1137" spans="1:12">
      <c r="A1137" s="21">
        <f>RRG趋势计算!A1136</f>
        <v>46224</v>
      </c>
      <c r="B1137" s="1" t="str">
        <f>RRG趋势计算!H1136</f>
        <v>减弱</v>
      </c>
      <c r="C1137" s="1" t="str">
        <f>价格指标计算!R1137</f>
        <v>中性</v>
      </c>
      <c r="D1137" s="1" t="str">
        <f>RRG趋势计算!F1136</f>
        <v>上升</v>
      </c>
      <c r="E1137" s="1" t="str">
        <f t="shared" si="62"/>
        <v>持仓</v>
      </c>
      <c r="I1137" s="1">
        <f>价格指标计算!B1137</f>
        <v>2.0670000000000002</v>
      </c>
      <c r="J1137" s="1">
        <f>价格指标计算!Q1137</f>
        <v>0.187</v>
      </c>
      <c r="K1137" s="1">
        <f>RRG趋势计算!D1136</f>
        <v>0.22989124116108428</v>
      </c>
      <c r="L1137" s="1">
        <f>RRG趋势计算!G1136</f>
        <v>-3.3145431167924677E-2</v>
      </c>
    </row>
    <row r="1138" spans="1:12">
      <c r="A1138" s="21">
        <f>RRG趋势计算!A1137</f>
        <v>46225</v>
      </c>
      <c r="B1138" s="1" t="str">
        <f>RRG趋势计算!H1137</f>
        <v>领先</v>
      </c>
      <c r="C1138" s="1" t="str">
        <f>价格指标计算!R1138</f>
        <v>中性</v>
      </c>
      <c r="D1138" s="1" t="str">
        <f>RRG趋势计算!F1137</f>
        <v>上升</v>
      </c>
      <c r="E1138" s="1" t="str">
        <f t="shared" si="62"/>
        <v>持仓</v>
      </c>
      <c r="I1138" s="1">
        <f>价格指标计算!B1138</f>
        <v>2.0646</v>
      </c>
      <c r="J1138" s="1">
        <f>价格指标计算!Q1138</f>
        <v>0.217</v>
      </c>
      <c r="K1138" s="1">
        <f>RRG趋势计算!D1137</f>
        <v>0.25877655909531949</v>
      </c>
      <c r="L1138" s="1">
        <f>RRG趋势计算!G1137</f>
        <v>3.2149554715377171E-2</v>
      </c>
    </row>
    <row r="1139" spans="1:12">
      <c r="A1139" s="21">
        <f>RRG趋势计算!A1138</f>
        <v>46226</v>
      </c>
      <c r="B1139" s="1" t="str">
        <f>RRG趋势计算!H1138</f>
        <v>领先</v>
      </c>
      <c r="C1139" s="1" t="str">
        <f>价格指标计算!R1139</f>
        <v>中性</v>
      </c>
      <c r="D1139" s="1" t="str">
        <f>RRG趋势计算!F1138</f>
        <v>上升</v>
      </c>
      <c r="E1139" s="1" t="str">
        <f t="shared" ref="E1139:E1141" si="63">IF(OR(B1139="",C1139="",D1139=""),"",IF(D1139="上升","持仓",IF(AND(B1139="减弱",C1139="贵"),"空仓",IF(AND(B1139="减弱",C1139="中性"),"空仓",IF(AND(B1139="改善",C1139="贵"),"空仓",IF(B1139="滞后","空仓","持仓"))))))</f>
        <v>持仓</v>
      </c>
      <c r="I1139" s="1">
        <f>价格指标计算!B1139</f>
        <v>2.0655000000000001</v>
      </c>
      <c r="J1139" s="1">
        <f>价格指标计算!Q1139</f>
        <v>0.17950000000000002</v>
      </c>
      <c r="K1139" s="1">
        <f>RRG趋势计算!D1138</f>
        <v>0.28532463124488761</v>
      </c>
      <c r="L1139" s="1">
        <f>RRG趋势计算!G1138</f>
        <v>3.2792300966555388E-2</v>
      </c>
    </row>
    <row r="1140" spans="1:12">
      <c r="A1140" s="21">
        <f>RRG趋势计算!A1139</f>
        <v>46227</v>
      </c>
      <c r="B1140" s="1" t="str">
        <f>RRG趋势计算!H1139</f>
        <v>领先</v>
      </c>
      <c r="C1140" s="1" t="str">
        <f>价格指标计算!R1140</f>
        <v>中性</v>
      </c>
      <c r="D1140" s="1" t="str">
        <f>RRG趋势计算!F1139</f>
        <v>上升</v>
      </c>
      <c r="E1140" s="1" t="str">
        <f t="shared" si="63"/>
        <v>持仓</v>
      </c>
      <c r="I1140" s="1">
        <f>价格指标计算!B1140</f>
        <v>2.0655000000000001</v>
      </c>
      <c r="J1140" s="1">
        <f>价格指标计算!Q1140</f>
        <v>0.16950000000000001</v>
      </c>
      <c r="K1140" s="1">
        <f>RRG趋势计算!D1139</f>
        <v>0.29560997148265766</v>
      </c>
      <c r="L1140" s="1">
        <f>RRG趋势计算!G1139</f>
        <v>5.7799280789216922E-2</v>
      </c>
    </row>
    <row r="1141" spans="1:12">
      <c r="A1141" s="21">
        <f>RRG趋势计算!A1140</f>
        <v>46230</v>
      </c>
      <c r="B1141" s="1" t="str">
        <f>RRG趋势计算!H1140</f>
        <v>领先</v>
      </c>
      <c r="C1141" s="1" t="str">
        <f>价格指标计算!R1141</f>
        <v>中性</v>
      </c>
      <c r="D1141" s="1" t="str">
        <f>RRG趋势计算!F1140</f>
        <v>上升</v>
      </c>
      <c r="E1141" s="1" t="str">
        <f t="shared" si="63"/>
        <v>持仓</v>
      </c>
      <c r="I1141" s="1">
        <f>价格指标计算!B1141</f>
        <v>2.0648</v>
      </c>
      <c r="J1141" s="1">
        <f>价格指标计算!Q1141</f>
        <v>0.1595</v>
      </c>
      <c r="K1141" s="1">
        <f>RRG趋势计算!D1140</f>
        <v>0.30092416268920896</v>
      </c>
      <c r="L1141" s="1">
        <f>RRG趋势计算!G1140</f>
        <v>4.0931082764195104E-2</v>
      </c>
    </row>
    <row r="1142" spans="1:12">
      <c r="A1142" s="21">
        <f>RRG趋势计算!A1141</f>
        <v>46231</v>
      </c>
      <c r="B1142" s="1" t="str">
        <f>RRG趋势计算!H1141</f>
        <v>领先</v>
      </c>
      <c r="C1142" s="1" t="str">
        <f>价格指标计算!R1142</f>
        <v>中性</v>
      </c>
      <c r="D1142" s="1" t="str">
        <f>RRG趋势计算!F1141</f>
        <v>上升</v>
      </c>
      <c r="E1142" s="1" t="str">
        <f t="shared" ref="E1142:E1143" si="64">IF(OR(B1142="",C1142="",D1142=""),"",IF(D1142="上升","持仓",IF(AND(B1142="减弱",C1142="贵"),"空仓",IF(AND(B1142="减弱",C1142="中性"),"空仓",IF(AND(B1142="改善",C1142="贵"),"空仓",IF(B1142="滞后","空仓","持仓"))))))</f>
        <v>持仓</v>
      </c>
      <c r="I1142" s="1">
        <f>价格指标计算!B1142</f>
        <v>2.0684999999999998</v>
      </c>
      <c r="J1142" s="1">
        <f>价格指标计算!Q1142</f>
        <v>0.15</v>
      </c>
      <c r="K1142" s="1">
        <f>RRG趋势计算!D1141</f>
        <v>0.31682466292717315</v>
      </c>
      <c r="L1142" s="1">
        <f>RRG趋势计算!G1141</f>
        <v>6.965758320034432E-2</v>
      </c>
    </row>
    <row r="1143" spans="1:12">
      <c r="A1143" s="21">
        <f>RRG趋势计算!A1142</f>
        <v>46232</v>
      </c>
      <c r="B1143" s="1" t="str">
        <f>RRG趋势计算!H1142</f>
        <v>领先</v>
      </c>
      <c r="C1143" s="1" t="str">
        <f>价格指标计算!R1143</f>
        <v>中性</v>
      </c>
      <c r="D1143" s="1" t="str">
        <f>RRG趋势计算!F1142</f>
        <v>上升</v>
      </c>
      <c r="E1143" s="1" t="str">
        <f t="shared" si="64"/>
        <v>持仓</v>
      </c>
      <c r="I1143" s="1">
        <f>价格指标计算!B1143</f>
        <v>2.0773999999999999</v>
      </c>
      <c r="J1143" s="1">
        <f>价格指标计算!Q1143</f>
        <v>0.23300000000000001</v>
      </c>
      <c r="K1143" s="1">
        <f>RRG趋势计算!D1142</f>
        <v>0.28288187624072592</v>
      </c>
      <c r="L1143" s="1">
        <f>RRG趋势计算!G1142</f>
        <v>4.7091938600130057E-2</v>
      </c>
    </row>
    <row r="1144" spans="1:12">
      <c r="A1144" s="21">
        <f>RRG趋势计算!A1143</f>
        <v>46233</v>
      </c>
      <c r="B1144" s="1" t="str">
        <f>RRG趋势计算!H1143</f>
        <v>领先</v>
      </c>
      <c r="C1144" s="1" t="str">
        <f>价格指标计算!R1144</f>
        <v>中性</v>
      </c>
      <c r="D1144" s="1" t="str">
        <f>RRG趋势计算!F1143</f>
        <v>上升</v>
      </c>
      <c r="E1144" s="1" t="str">
        <f t="shared" ref="E1144:E1145" si="65">IF(OR(B1144="",C1144="",D1144=""),"",IF(D1144="上升","持仓",IF(AND(B1144="减弱",C1144="贵"),"空仓",IF(AND(B1144="减弱",C1144="中性"),"空仓",IF(AND(B1144="改善",C1144="贵"),"空仓",IF(B1144="滞后","空仓","持仓"))))))</f>
        <v>持仓</v>
      </c>
      <c r="I1144" s="1">
        <f>价格指标计算!B1144</f>
        <v>2.0788000000000002</v>
      </c>
      <c r="J1144" s="1">
        <f>价格指标计算!Q1144</f>
        <v>0.27250000000000002</v>
      </c>
      <c r="K1144" s="1">
        <f>RRG趋势计算!D1143</f>
        <v>0.30505797991442485</v>
      </c>
      <c r="L1144" s="1">
        <f>RRG趋势计算!G1143</f>
        <v>4.7137897721638566E-2</v>
      </c>
    </row>
    <row r="1145" spans="1:12">
      <c r="A1145" s="21">
        <f>RRG趋势计算!A1144</f>
        <v>46234</v>
      </c>
      <c r="B1145" s="1" t="str">
        <f>RRG趋势计算!H1144</f>
        <v>领先</v>
      </c>
      <c r="C1145" s="1" t="str">
        <f>价格指标计算!R1145</f>
        <v>中性</v>
      </c>
      <c r="D1145" s="1" t="str">
        <f>RRG趋势计算!F1144</f>
        <v>上升</v>
      </c>
      <c r="E1145" s="1" t="str">
        <f t="shared" si="65"/>
        <v>持仓</v>
      </c>
      <c r="I1145" s="1">
        <f>价格指标计算!B1145</f>
        <v>2.0718999999999999</v>
      </c>
      <c r="J1145" s="1">
        <f>价格指标计算!Q1145</f>
        <v>0.2505</v>
      </c>
      <c r="K1145" s="1">
        <f>RRG趋势计算!D1144</f>
        <v>0.33490974691747777</v>
      </c>
      <c r="L1145" s="1">
        <f>RRG趋势计算!G1144</f>
        <v>0.12337021155819361</v>
      </c>
    </row>
    <row r="1146" spans="1:12">
      <c r="A1146" s="21">
        <f>RRG趋势计算!A1145</f>
        <v>46237</v>
      </c>
      <c r="B1146" s="1" t="str">
        <f>RRG趋势计算!H1145</f>
        <v>领先</v>
      </c>
      <c r="C1146" s="1" t="str">
        <f>价格指标计算!R1146</f>
        <v>中性</v>
      </c>
      <c r="D1146" s="1" t="str">
        <f>RRG趋势计算!F1145</f>
        <v>上升</v>
      </c>
      <c r="E1146" s="1" t="str">
        <f t="shared" ref="E1146:E1148" si="66">IF(OR(B1146="",C1146="",D1146=""),"",IF(D1146="上升","持仓",IF(AND(B1146="减弱",C1146="贵"),"空仓",IF(AND(B1146="减弱",C1146="中性"),"空仓",IF(AND(B1146="改善",C1146="贵"),"空仓",IF(B1146="滞后","空仓","持仓"))))))</f>
        <v>持仓</v>
      </c>
      <c r="I1146" s="1">
        <f>价格指标计算!B1146</f>
        <v>2.0735000000000001</v>
      </c>
      <c r="J1146" s="1">
        <f>价格指标计算!Q1146</f>
        <v>0.2525</v>
      </c>
      <c r="K1146" s="1">
        <f>RRG趋势计算!D1145</f>
        <v>0.34426191000513917</v>
      </c>
      <c r="L1146" s="1">
        <f>RRG趋势计算!G1145</f>
        <v>0.10226102503387846</v>
      </c>
    </row>
    <row r="1147" spans="1:12">
      <c r="A1147" s="21">
        <f>RRG趋势计算!A1146</f>
        <v>46238</v>
      </c>
      <c r="B1147" s="1" t="str">
        <f>RRG趋势计算!H1146</f>
        <v>领先</v>
      </c>
      <c r="C1147" s="1" t="str">
        <f>价格指标计算!R1147</f>
        <v>中性</v>
      </c>
      <c r="D1147" s="1" t="str">
        <f>RRG趋势计算!F1146</f>
        <v>上升</v>
      </c>
      <c r="E1147" s="1" t="str">
        <f t="shared" si="66"/>
        <v>持仓</v>
      </c>
      <c r="I1147" s="1">
        <f>价格指标计算!B1147</f>
        <v>2.0828000000000002</v>
      </c>
      <c r="J1147" s="1">
        <f>价格指标计算!Q1147</f>
        <v>0.34499999999999997</v>
      </c>
      <c r="K1147" s="1">
        <f>RRG趋势计算!D1146</f>
        <v>0.30491202847395815</v>
      </c>
      <c r="L1147" s="1">
        <f>RRG趋势计算!G1146</f>
        <v>7.9857998552723686E-2</v>
      </c>
    </row>
    <row r="1148" spans="1:12">
      <c r="A1148" s="21">
        <f>RRG趋势计算!A1147</f>
        <v>46239</v>
      </c>
      <c r="B1148" s="1" t="str">
        <f>RRG趋势计算!H1147</f>
        <v>领先</v>
      </c>
      <c r="C1148" s="1" t="str">
        <f>价格指标计算!R1148</f>
        <v>中性</v>
      </c>
      <c r="D1148" s="1" t="str">
        <f>RRG趋势计算!F1147</f>
        <v>上升</v>
      </c>
      <c r="E1148" s="1" t="str">
        <f t="shared" si="66"/>
        <v>持仓</v>
      </c>
      <c r="I1148" s="1">
        <f>价格指标计算!B1148</f>
        <v>2.0728</v>
      </c>
      <c r="J1148" s="1">
        <f>价格指标计算!Q1148</f>
        <v>0.29200000000000004</v>
      </c>
      <c r="K1148" s="1">
        <f>RRG趋势计算!D1147</f>
        <v>0.30564059023023837</v>
      </c>
      <c r="L1148" s="1">
        <f>RRG趋势计算!G1147</f>
        <v>6.8867254084281626E-2</v>
      </c>
    </row>
    <row r="1149" spans="1:12">
      <c r="A1149" s="21">
        <f>RRG趋势计算!A1148</f>
        <v>46240</v>
      </c>
      <c r="B1149" s="1" t="str">
        <f>RRG趋势计算!H1148</f>
        <v>领先</v>
      </c>
      <c r="C1149" s="1" t="str">
        <f>价格指标计算!R1149</f>
        <v>中性</v>
      </c>
      <c r="D1149" s="1" t="str">
        <f>RRG趋势计算!F1148</f>
        <v>上升</v>
      </c>
      <c r="E1149" s="1" t="str">
        <f t="shared" ref="E1149:E1150" si="67">IF(OR(B1149="",C1149="",D1149=""),"",IF(D1149="上升","持仓",IF(AND(B1149="减弱",C1149="贵"),"空仓",IF(AND(B1149="减弱",C1149="中性"),"空仓",IF(AND(B1149="改善",C1149="贵"),"空仓",IF(B1149="滞后","空仓","持仓"))))))</f>
        <v>持仓</v>
      </c>
      <c r="I1149" s="1">
        <f>价格指标计算!B1149</f>
        <v>2.0727000000000002</v>
      </c>
      <c r="J1149" s="1">
        <f>价格指标计算!Q1149</f>
        <v>0.32550000000000001</v>
      </c>
      <c r="K1149" s="1">
        <f>RRG趋势计算!D1148</f>
        <v>0.3503836858670617</v>
      </c>
      <c r="L1149" s="1">
        <f>RRG趋势计算!G1148</f>
        <v>0.13709878475831605</v>
      </c>
    </row>
    <row r="1150" spans="1:12">
      <c r="A1150" s="21">
        <f>RRG趋势计算!A1149</f>
        <v>46241</v>
      </c>
      <c r="B1150" s="1" t="str">
        <f>RRG趋势计算!H1149</f>
        <v>领先</v>
      </c>
      <c r="C1150" s="1" t="str">
        <f>价格指标计算!R1150</f>
        <v>中性</v>
      </c>
      <c r="D1150" s="1" t="str">
        <f>RRG趋势计算!F1149</f>
        <v>上升</v>
      </c>
      <c r="E1150" s="1" t="str">
        <f t="shared" si="67"/>
        <v>持仓</v>
      </c>
      <c r="I1150" s="1">
        <f>价格指标计算!B1150</f>
        <v>2.0794999999999999</v>
      </c>
      <c r="J1150" s="1">
        <f>价格指标计算!Q1150</f>
        <v>0.40249999999999997</v>
      </c>
      <c r="K1150" s="1">
        <f>RRG趋势计算!D1149</f>
        <v>0.38134775646336827</v>
      </c>
      <c r="L1150" s="1">
        <f>RRG趋势计算!G1149</f>
        <v>0.15145651530228399</v>
      </c>
    </row>
    <row r="1151" spans="1:12">
      <c r="A1151" s="21">
        <f>RRG趋势计算!A1150</f>
        <v>46244</v>
      </c>
      <c r="B1151" s="1" t="str">
        <f>RRG趋势计算!H1150</f>
        <v>领先</v>
      </c>
      <c r="C1151" s="1" t="str">
        <f>价格指标计算!R1151</f>
        <v>中性</v>
      </c>
      <c r="D1151" s="1" t="str">
        <f>RRG趋势计算!F1150</f>
        <v>上升</v>
      </c>
      <c r="E1151" s="1" t="str">
        <f t="shared" ref="E1151:E1153" si="68">IF(OR(B1151="",C1151="",D1151=""),"",IF(D1151="上升","持仓",IF(AND(B1151="减弱",C1151="贵"),"空仓",IF(AND(B1151="减弱",C1151="中性"),"空仓",IF(AND(B1151="改善",C1151="贵"),"空仓",IF(B1151="滞后","空仓","持仓"))))))</f>
        <v>持仓</v>
      </c>
      <c r="I1151" s="1">
        <f>价格指标计算!B1151</f>
        <v>2.0600999999999998</v>
      </c>
      <c r="J1151" s="1">
        <f>价格指标计算!Q1151</f>
        <v>0.25800000000000001</v>
      </c>
      <c r="K1151" s="1">
        <f>RRG趋势计算!D1150</f>
        <v>0.42388305172169627</v>
      </c>
      <c r="L1151" s="1">
        <f>RRG趋势计算!G1150</f>
        <v>0.16510649262637678</v>
      </c>
    </row>
    <row r="1152" spans="1:12">
      <c r="A1152" s="21">
        <f>RRG趋势计算!A1151</f>
        <v>46245</v>
      </c>
      <c r="B1152" s="1" t="str">
        <f>RRG趋势计算!H1151</f>
        <v>领先</v>
      </c>
      <c r="C1152" s="1" t="str">
        <f>价格指标计算!R1152</f>
        <v>中性</v>
      </c>
      <c r="D1152" s="1" t="str">
        <f>RRG趋势计算!F1151</f>
        <v>上升</v>
      </c>
      <c r="E1152" s="1" t="str">
        <f t="shared" si="68"/>
        <v>持仓</v>
      </c>
      <c r="I1152" s="1">
        <f>价格指标计算!B1152</f>
        <v>2.0552999999999999</v>
      </c>
      <c r="J1152" s="1">
        <f>价格指标计算!Q1152</f>
        <v>0.17100000000000001</v>
      </c>
      <c r="K1152" s="1">
        <f>RRG趋势计算!D1151</f>
        <v>0.42343025770696929</v>
      </c>
      <c r="L1152" s="1">
        <f>RRG趋势计算!G1151</f>
        <v>0.13810562646208169</v>
      </c>
    </row>
    <row r="1153" spans="1:12">
      <c r="A1153" s="21">
        <f>RRG趋势计算!A1152</f>
        <v>46246</v>
      </c>
      <c r="B1153" s="1" t="str">
        <f>RRG趋势计算!H1152</f>
        <v>领先</v>
      </c>
      <c r="C1153" s="1" t="str">
        <f>价格指标计算!R1153</f>
        <v>中性</v>
      </c>
      <c r="D1153" s="1" t="str">
        <f>RRG趋势计算!F1152</f>
        <v>上升</v>
      </c>
      <c r="E1153" s="1" t="str">
        <f t="shared" si="68"/>
        <v>持仓</v>
      </c>
      <c r="I1153" s="1">
        <f>价格指标计算!B1153</f>
        <v>2.0546000000000002</v>
      </c>
      <c r="J1153" s="1">
        <f>价格指标计算!Q1153</f>
        <v>0.1555</v>
      </c>
      <c r="K1153" s="1">
        <f>RRG趋势计算!D1152</f>
        <v>0.45492087869094533</v>
      </c>
      <c r="L1153" s="1">
        <f>RRG趋势计算!G1152</f>
        <v>0.15931090720828767</v>
      </c>
    </row>
    <row r="1154" spans="1:12">
      <c r="A1154" s="21">
        <f>RRG趋势计算!A1153</f>
        <v>46247</v>
      </c>
      <c r="B1154" s="1" t="str">
        <f>RRG趋势计算!H1153</f>
        <v>领先</v>
      </c>
      <c r="C1154" s="1" t="str">
        <f>价格指标计算!R1154</f>
        <v>中性</v>
      </c>
      <c r="D1154" s="1" t="str">
        <f>RRG趋势计算!F1153</f>
        <v>上升</v>
      </c>
      <c r="E1154" s="1" t="str">
        <f t="shared" ref="E1154:E1158" si="69">IF(OR(B1154="",C1154="",D1154=""),"",IF(D1154="上升","持仓",IF(AND(B1154="减弱",C1154="贵"),"空仓",IF(AND(B1154="减弱",C1154="中性"),"空仓",IF(AND(B1154="改善",C1154="贵"),"空仓",IF(B1154="滞后","空仓","持仓"))))))</f>
        <v>持仓</v>
      </c>
      <c r="I1154" s="1">
        <f>价格指标计算!B1154</f>
        <v>2.0586000000000002</v>
      </c>
      <c r="J1154" s="1">
        <f>价格指标计算!Q1154</f>
        <v>0.2185</v>
      </c>
      <c r="K1154" s="1">
        <f>RRG趋势计算!D1153</f>
        <v>0.49051055686688549</v>
      </c>
      <c r="L1154" s="1">
        <f>RRG趋势计算!G1153</f>
        <v>0.18958639417767653</v>
      </c>
    </row>
    <row r="1155" spans="1:12">
      <c r="A1155" s="21">
        <f>RRG趋势计算!A1154</f>
        <v>46248</v>
      </c>
      <c r="B1155" s="1" t="str">
        <f>RRG趋势计算!H1154</f>
        <v>领先</v>
      </c>
      <c r="C1155" s="1" t="str">
        <f>价格指标计算!R1155</f>
        <v>中性</v>
      </c>
      <c r="D1155" s="1" t="str">
        <f>RRG趋势计算!F1154</f>
        <v>上升</v>
      </c>
      <c r="E1155" s="1" t="str">
        <f t="shared" si="69"/>
        <v>持仓</v>
      </c>
      <c r="I1155" s="1">
        <f>价格指标计算!B1155</f>
        <v>2.0497999999999998</v>
      </c>
      <c r="J1155" s="1">
        <f>价格指标计算!Q1155</f>
        <v>0.1535</v>
      </c>
      <c r="K1155" s="1">
        <f>RRG趋势计算!D1154</f>
        <v>0.50701080329509374</v>
      </c>
      <c r="L1155" s="1">
        <f>RRG趋势计算!G1154</f>
        <v>0.19018614036792059</v>
      </c>
    </row>
    <row r="1156" spans="1:12">
      <c r="A1156" s="21">
        <f>RRG趋势计算!A1155</f>
        <v>46251</v>
      </c>
      <c r="B1156" s="1" t="str">
        <f>RRG趋势计算!H1155</f>
        <v>领先</v>
      </c>
      <c r="C1156" s="1" t="str">
        <f>价格指标计算!R1156</f>
        <v>中性</v>
      </c>
      <c r="D1156" s="1" t="str">
        <f>RRG趋势计算!F1155</f>
        <v>上升</v>
      </c>
      <c r="E1156" s="1" t="str">
        <f t="shared" si="69"/>
        <v>持仓</v>
      </c>
      <c r="I1156" s="1">
        <f>价格指标计算!B1156</f>
        <v>2.0440999999999998</v>
      </c>
      <c r="J1156" s="1">
        <f>价格指标计算!Q1156</f>
        <v>0.2165</v>
      </c>
      <c r="K1156" s="1">
        <f>RRG趋势计算!D1155</f>
        <v>0.54782959577779344</v>
      </c>
      <c r="L1156" s="1">
        <f>RRG趋势计算!G1155</f>
        <v>0.26494771953706753</v>
      </c>
    </row>
    <row r="1157" spans="1:12">
      <c r="A1157" s="21">
        <f>RRG趋势计算!A1156</f>
        <v>46252</v>
      </c>
      <c r="B1157" s="1" t="str">
        <f>RRG趋势计算!H1156</f>
        <v>领先</v>
      </c>
      <c r="C1157" s="1" t="str">
        <f>价格指标计算!R1157</f>
        <v>贵</v>
      </c>
      <c r="D1157" s="1" t="str">
        <f>RRG趋势计算!F1156</f>
        <v>上升</v>
      </c>
      <c r="E1157" s="1" t="str">
        <f t="shared" si="69"/>
        <v>持仓</v>
      </c>
      <c r="I1157" s="1">
        <f>价格指标计算!B1157</f>
        <v>2.0266999999999999</v>
      </c>
      <c r="J1157" s="1">
        <f>价格指标计算!Q1157</f>
        <v>0.14150000000000001</v>
      </c>
      <c r="K1157" s="1">
        <f>RRG趋势计算!D1156</f>
        <v>0.63402894293123069</v>
      </c>
      <c r="L1157" s="1">
        <f>RRG趋势计算!G1156</f>
        <v>0.32897096301680584</v>
      </c>
    </row>
    <row r="1158" spans="1:12">
      <c r="A1158" s="21">
        <f>RRG趋势计算!A1157</f>
        <v>46253</v>
      </c>
      <c r="B1158" s="1" t="str">
        <f>RRG趋势计算!H1157</f>
        <v>领先</v>
      </c>
      <c r="C1158" s="1" t="str">
        <f>价格指标计算!R1158</f>
        <v>贵</v>
      </c>
      <c r="D1158" s="1" t="str">
        <f>RRG趋势计算!F1157</f>
        <v>上升</v>
      </c>
      <c r="E1158" s="1" t="str">
        <f t="shared" si="69"/>
        <v>持仓</v>
      </c>
      <c r="I1158" s="1">
        <f>价格指标计算!B1158</f>
        <v>2.0194999999999999</v>
      </c>
      <c r="J1158" s="1">
        <f>价格指标计算!Q1158</f>
        <v>5.8500000000000003E-2</v>
      </c>
      <c r="K1158" s="1">
        <f>RRG趋势计算!D1157</f>
        <v>0.65946473874889389</v>
      </c>
      <c r="L1158" s="1">
        <f>RRG趋势计算!G1157</f>
        <v>0.32455499183141612</v>
      </c>
    </row>
    <row r="1159" spans="1:12">
      <c r="A1159" s="21">
        <f>RRG趋势计算!A1158</f>
        <v>46254</v>
      </c>
      <c r="B1159" s="1" t="str">
        <f>RRG趋势计算!H1158</f>
        <v>领先</v>
      </c>
      <c r="C1159" s="1" t="str">
        <f>价格指标计算!R1159</f>
        <v>贵</v>
      </c>
      <c r="D1159" s="1" t="str">
        <f>RRG趋势计算!F1158</f>
        <v>上升</v>
      </c>
      <c r="E1159" s="1" t="str">
        <f t="shared" ref="E1159:E1160" si="70">IF(OR(B1159="",C1159="",D1159=""),"",IF(D1159="上升","持仓",IF(AND(B1159="减弱",C1159="贵"),"空仓",IF(AND(B1159="减弱",C1159="中性"),"空仓",IF(AND(B1159="改善",C1159="贵"),"空仓",IF(B1159="滞后","空仓","持仓"))))))</f>
        <v>持仓</v>
      </c>
      <c r="I1159" s="1">
        <f>价格指标计算!B1159</f>
        <v>2.0243000000000002</v>
      </c>
      <c r="J1159" s="1">
        <f>价格指标计算!Q1159</f>
        <v>5.8500000000000003E-2</v>
      </c>
      <c r="K1159" s="1">
        <f>RRG趋势计算!D1158</f>
        <v>0.60381164960237044</v>
      </c>
      <c r="L1159" s="1">
        <f>RRG趋势计算!G1158</f>
        <v>0.25954973959723127</v>
      </c>
    </row>
    <row r="1160" spans="1:12">
      <c r="A1160" s="21">
        <f>RRG趋势计算!A1159</f>
        <v>46255</v>
      </c>
      <c r="B1160" s="1" t="str">
        <f>RRG趋势计算!H1159</f>
        <v>领先</v>
      </c>
      <c r="C1160" s="1" t="str">
        <f>价格指标计算!R1160</f>
        <v>贵</v>
      </c>
      <c r="D1160" s="1" t="str">
        <f>RRG趋势计算!F1159</f>
        <v>上升</v>
      </c>
      <c r="E1160" s="1" t="str">
        <f t="shared" si="70"/>
        <v>持仓</v>
      </c>
      <c r="I1160" s="1">
        <f>价格指标计算!B1160</f>
        <v>2.0318000000000001</v>
      </c>
      <c r="J1160" s="1">
        <f>价格指标计算!Q1160</f>
        <v>8.249999999999999E-2</v>
      </c>
      <c r="K1160" s="1">
        <f>RRG趋势计算!D1159</f>
        <v>0.53912554396069456</v>
      </c>
      <c r="L1160" s="1">
        <f>RRG趋势计算!G1159</f>
        <v>0.23421351548673641</v>
      </c>
    </row>
    <row r="1161" spans="1:12">
      <c r="A1161" s="21">
        <f>RRG趋势计算!A1160</f>
        <v>46258</v>
      </c>
      <c r="B1161" s="1" t="str">
        <f>RRG趋势计算!H1160</f>
        <v>领先</v>
      </c>
      <c r="C1161" s="1" t="str">
        <f>价格指标计算!R1161</f>
        <v>贵</v>
      </c>
      <c r="D1161" s="1" t="str">
        <f>RRG趋势计算!F1160</f>
        <v>上升</v>
      </c>
      <c r="E1161" s="1" t="str">
        <f t="shared" ref="E1161:E1166" si="71">IF(OR(B1161="",C1161="",D1161=""),"",IF(D1161="上升","持仓",IF(AND(B1161="减弱",C1161="贵"),"空仓",IF(AND(B1161="减弱",C1161="中性"),"空仓",IF(AND(B1161="改善",C1161="贵"),"空仓",IF(B1161="滞后","空仓","持仓"))))))</f>
        <v>持仓</v>
      </c>
      <c r="I1161" s="1">
        <f>价格指标计算!B1161</f>
        <v>2.0156999999999998</v>
      </c>
      <c r="J1161" s="1">
        <f>价格指标计算!Q1161</f>
        <v>3.5000000000000003E-2</v>
      </c>
      <c r="K1161" s="1">
        <f>RRG趋势计算!D1160</f>
        <v>0.56357341158905783</v>
      </c>
      <c r="L1161" s="1">
        <f>RRG趋势计算!G1160</f>
        <v>0.25793282135881945</v>
      </c>
    </row>
    <row r="1162" spans="1:12">
      <c r="A1162" s="21">
        <f>RRG趋势计算!A1161</f>
        <v>46259</v>
      </c>
      <c r="B1162" s="1" t="str">
        <f>RRG趋势计算!H1161</f>
        <v>领先</v>
      </c>
      <c r="C1162" s="1" t="str">
        <f>价格指标计算!R1162</f>
        <v>贵</v>
      </c>
      <c r="D1162" s="1" t="str">
        <f>RRG趋势计算!F1161</f>
        <v>上升</v>
      </c>
      <c r="E1162" s="1" t="str">
        <f t="shared" si="71"/>
        <v>持仓</v>
      </c>
      <c r="I1162" s="1">
        <f>价格指标计算!B1162</f>
        <v>2.0028999999999999</v>
      </c>
      <c r="J1162" s="1">
        <f>价格指标计算!Q1162</f>
        <v>6.9999999999999993E-3</v>
      </c>
      <c r="K1162" s="1">
        <f>RRG趋势计算!D1161</f>
        <v>0.56171602954160349</v>
      </c>
      <c r="L1162" s="1">
        <f>RRG趋势计算!G1161</f>
        <v>0.21133234367454179</v>
      </c>
    </row>
    <row r="1163" spans="1:12">
      <c r="A1163" s="21">
        <f>RRG趋势计算!A1162</f>
        <v>46260</v>
      </c>
      <c r="B1163" s="1" t="str">
        <f>RRG趋势计算!H1162</f>
        <v>领先</v>
      </c>
      <c r="C1163" s="1" t="str">
        <f>价格指标计算!R1163</f>
        <v>贵</v>
      </c>
      <c r="D1163" s="1" t="str">
        <f>RRG趋势计算!F1162</f>
        <v>上升</v>
      </c>
      <c r="E1163" s="1" t="str">
        <f t="shared" si="71"/>
        <v>持仓</v>
      </c>
      <c r="I1163" s="1">
        <f>价格指标计算!B1163</f>
        <v>2.0015999999999998</v>
      </c>
      <c r="J1163" s="1">
        <f>价格指标计算!Q1163</f>
        <v>3.0000000000000001E-3</v>
      </c>
      <c r="K1163" s="1">
        <f>RRG趋势计算!D1162</f>
        <v>0.51943074834233105</v>
      </c>
      <c r="L1163" s="1">
        <f>RRG趋势计算!G1162</f>
        <v>0.13808299187896278</v>
      </c>
    </row>
    <row r="1164" spans="1:12">
      <c r="A1164" s="21">
        <f>RRG趋势计算!A1163</f>
        <v>46261</v>
      </c>
      <c r="B1164" s="1" t="str">
        <f>RRG趋势计算!H1163</f>
        <v>领先</v>
      </c>
      <c r="C1164" s="1" t="str">
        <f>价格指标计算!R1164</f>
        <v>贵</v>
      </c>
      <c r="D1164" s="1" t="str">
        <f>RRG趋势计算!F1163</f>
        <v>上升</v>
      </c>
      <c r="E1164" s="1" t="str">
        <f t="shared" si="71"/>
        <v>持仓</v>
      </c>
      <c r="I1164" s="1">
        <f>价格指标计算!B1164</f>
        <v>2.0003000000000002</v>
      </c>
      <c r="J1164" s="1">
        <f>价格指标计算!Q1164</f>
        <v>3.0000000000000001E-3</v>
      </c>
      <c r="K1164" s="1">
        <f>RRG趋势计算!D1163</f>
        <v>0.46984708088104732</v>
      </c>
      <c r="L1164" s="1">
        <f>RRG趋势计算!G1163</f>
        <v>4.596402915935105E-2</v>
      </c>
    </row>
    <row r="1165" spans="1:12">
      <c r="A1165" s="21">
        <f>RRG趋势计算!A1164</f>
        <v>46262</v>
      </c>
      <c r="B1165" s="1" t="str">
        <f>RRG趋势计算!H1164</f>
        <v>领先</v>
      </c>
      <c r="C1165" s="1" t="str">
        <f>价格指标计算!R1165</f>
        <v>贵</v>
      </c>
      <c r="D1165" s="1" t="str">
        <f>RRG趋势计算!F1164</f>
        <v>上升</v>
      </c>
      <c r="E1165" s="1" t="str">
        <f t="shared" si="71"/>
        <v>持仓</v>
      </c>
      <c r="I1165" s="1">
        <f>价格指标计算!B1165</f>
        <v>2.0093999999999999</v>
      </c>
      <c r="J1165" s="1">
        <f>价格指标计算!Q1165</f>
        <v>1.0999999999999999E-2</v>
      </c>
      <c r="K1165" s="1">
        <f>RRG趋势计算!D1164</f>
        <v>0.44882790298201858</v>
      </c>
      <c r="L1165" s="1">
        <f>RRG趋势计算!G1164</f>
        <v>2.5397645275049285E-2</v>
      </c>
    </row>
    <row r="1166" spans="1:12">
      <c r="A1166" s="21">
        <f>RRG趋势计算!A1165</f>
        <v>46265</v>
      </c>
      <c r="B1166" s="1" t="str">
        <f>RRG趋势计算!H1165</f>
        <v>领先</v>
      </c>
      <c r="C1166" s="1" t="str">
        <f>价格指标计算!R1166</f>
        <v>贵</v>
      </c>
      <c r="D1166" s="1" t="str">
        <f>RRG趋势计算!F1165</f>
        <v>上升</v>
      </c>
      <c r="E1166" s="1" t="str">
        <f t="shared" si="71"/>
        <v>持仓</v>
      </c>
      <c r="I1166" s="1">
        <f>价格指标计算!B1166</f>
        <v>2.0142000000000002</v>
      </c>
      <c r="J1166" s="1">
        <f>价格指标计算!Q1166</f>
        <v>1.7000000000000001E-2</v>
      </c>
      <c r="K1166" s="1">
        <f>RRG趋势计算!D1165</f>
        <v>0.4624134865856</v>
      </c>
      <c r="L1166" s="1">
        <f>RRG趋势计算!G1165</f>
        <v>7.4926078946546681E-3</v>
      </c>
    </row>
    <row r="1167" spans="1:12">
      <c r="A1167" s="21">
        <f>RRG趋势计算!A1166</f>
        <v>46266</v>
      </c>
      <c r="B1167" s="1" t="str">
        <f>RRG趋势计算!H1166</f>
        <v>减弱</v>
      </c>
      <c r="C1167" s="1" t="str">
        <f>价格指标计算!R1167</f>
        <v>贵</v>
      </c>
      <c r="D1167" s="1" t="str">
        <f>RRG趋势计算!F1166</f>
        <v>上升</v>
      </c>
      <c r="E1167" s="1" t="str">
        <f t="shared" ref="E1167" si="72">IF(OR(B1167="",C1167="",D1167=""),"",IF(D1167="上升","持仓",IF(AND(B1167="减弱",C1167="贵"),"空仓",IF(AND(B1167="减弱",C1167="中性"),"空仓",IF(AND(B1167="改善",C1167="贵"),"空仓",IF(B1167="滞后","空仓","持仓"))))))</f>
        <v>持仓</v>
      </c>
      <c r="I1167" s="1">
        <f>价格指标计算!B1167</f>
        <v>2.0095999999999998</v>
      </c>
      <c r="J1167" s="1">
        <f>价格指标计算!Q1167</f>
        <v>2.3E-2</v>
      </c>
      <c r="K1167" s="1">
        <f>RRG趋势计算!D1166</f>
        <v>0.44193805410446263</v>
      </c>
      <c r="L1167" s="1">
        <f>RRG趋势计算!G1166</f>
        <v>-4.8572502762422864E-2</v>
      </c>
    </row>
    <row r="1168" spans="1:12">
      <c r="A1168" s="21">
        <f>RRG趋势计算!A1167</f>
        <v>46267</v>
      </c>
      <c r="B1168" s="1" t="str">
        <f>RRG趋势计算!H1167</f>
        <v>减弱</v>
      </c>
      <c r="C1168" s="1" t="str">
        <f>价格指标计算!R1168</f>
        <v>贵</v>
      </c>
      <c r="D1168" s="1" t="str">
        <f>RRG趋势计算!F1167</f>
        <v>上升</v>
      </c>
      <c r="E1168" s="1" t="str">
        <f t="shared" ref="E1168" si="73">IF(OR(B1168="",C1168="",D1168=""),"",IF(D1168="上升","持仓",IF(AND(B1168="减弱",C1168="贵"),"空仓",IF(AND(B1168="减弱",C1168="中性"),"空仓",IF(AND(B1168="改善",C1168="贵"),"空仓",IF(B1168="滞后","空仓","持仓"))))))</f>
        <v>持仓</v>
      </c>
      <c r="I1168" s="1">
        <f>价格指标计算!B1168</f>
        <v>2.0093000000000001</v>
      </c>
      <c r="J1168" s="1">
        <f>价格指标计算!Q1168</f>
        <v>1.7000000000000001E-2</v>
      </c>
      <c r="K1168" s="1">
        <f>RRG趋势计算!D1167</f>
        <v>0.42200524720299448</v>
      </c>
      <c r="L1168" s="1">
        <f>RRG趋势计算!G1167</f>
        <v>-8.5005556092099255E-2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8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39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40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40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24:I24"/>
    <mergeCell ref="A26:I26"/>
    <mergeCell ref="B18:I18"/>
    <mergeCell ref="B19:I19"/>
    <mergeCell ref="B20:I20"/>
    <mergeCell ref="B21:I21"/>
    <mergeCell ref="B22:I22"/>
    <mergeCell ref="B23:I23"/>
    <mergeCell ref="B17:I17"/>
    <mergeCell ref="A1:I1"/>
    <mergeCell ref="A4:D4"/>
    <mergeCell ref="A9:D9"/>
    <mergeCell ref="A15:I15"/>
    <mergeCell ref="B16:I1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2026-09-03T00:46:27Z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